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data\"/>
    </mc:Choice>
  </mc:AlternateContent>
  <xr:revisionPtr revIDLastSave="0" documentId="13_ncr:1_{3743BECF-8553-46BB-A42C-61E9D4F37615}" xr6:coauthVersionLast="45" xr6:coauthVersionMax="45" xr10:uidLastSave="{00000000-0000-0000-0000-000000000000}"/>
  <bookViews>
    <workbookView xWindow="-120" yWindow="-120" windowWidth="29040" windowHeight="15840" xr2:uid="{090A8529-E359-4AA4-A783-2F42B3F2BFCF}"/>
  </bookViews>
  <sheets>
    <sheet name="CodeIsAlive" sheetId="4" r:id="rId1"/>
    <sheet name="Exemple" sheetId="1" r:id="rId2"/>
    <sheet name="ICONES" sheetId="3" r:id="rId3"/>
    <sheet name="RULES" sheetId="2" r:id="rId4"/>
  </sheets>
  <functionGroups builtInGroupCount="19"/>
  <definedNames>
    <definedName name="_xlnm._FilterDatabase" localSheetId="0" hidden="1">CodeIsAlive!$A$58:$AH$59</definedName>
    <definedName name="_xlnm._FilterDatabase" localSheetId="1" hidden="1">Exemple!$A$30:$AH$63</definedName>
    <definedName name="ELEMENT_ELEMENT" localSheetId="0">CodeIsAlive!$B$3</definedName>
    <definedName name="ELEMENT_ELEMENT">Exemple!$B$3</definedName>
    <definedName name="ELEMENT_ICONE" localSheetId="0">CodeIsAlive!$C$3</definedName>
    <definedName name="ELEMENT_ICONE">Exemple!$C$3</definedName>
    <definedName name="ELEMENTS" localSheetId="0">CodeIsAlive!$A$3</definedName>
    <definedName name="ELEMENTS">Exemple!$A$3</definedName>
    <definedName name="PROCESSUS" localSheetId="0">CodeIsAlive!$A$58</definedName>
    <definedName name="PROCESSUS">Exemple!$A$30</definedName>
    <definedName name="PROCESSUS_ELEMENT" localSheetId="0">CodeIsAlive!$C$58</definedName>
    <definedName name="PROCESSUS_ELEMENT">Exemple!$C$30</definedName>
    <definedName name="PROCESSUS_ELEMENT2" localSheetId="0">CodeIsAlive!$D$58</definedName>
    <definedName name="PROCESSUS_ELEMENT2">Exemple!$D$30</definedName>
    <definedName name="PROCESSUS_ETATMEMOIRE" localSheetId="0">CodeIsAlive!$E$58</definedName>
    <definedName name="PROCESSUS_ETATMEMOIRE">Exemple!$E$30</definedName>
    <definedName name="PROCESSUS_PROCESSUS" localSheetId="0">CodeIsAlive!$B$58</definedName>
    <definedName name="PROCESSUS_PROCESSUS">Exemple!$B$30</definedName>
    <definedName name="PROCESSUS_PROCESSUSDERIVES" localSheetId="0">CodeIsAlive!#REF!</definedName>
    <definedName name="PROCESSUS_PROCESSUSDERIVES">Exemple!#REF!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4" l="1"/>
  <c r="D18" i="4"/>
  <c r="D17" i="4"/>
  <c r="D16" i="4"/>
  <c r="D14" i="4"/>
  <c r="D56" i="4"/>
  <c r="D53" i="4"/>
  <c r="C24" i="3" l="1"/>
  <c r="D27" i="4"/>
  <c r="D28" i="4"/>
  <c r="D29" i="4"/>
  <c r="D30" i="4"/>
  <c r="D20" i="4"/>
  <c r="C23" i="3"/>
  <c r="D15" i="4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12" i="4"/>
  <c r="D13" i="4"/>
  <c r="D6" i="4"/>
  <c r="D21" i="4"/>
  <c r="D7" i="4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D4" i="4"/>
  <c r="D5" i="4"/>
  <c r="D8" i="4"/>
  <c r="D9" i="4"/>
  <c r="D10" i="4"/>
  <c r="D11" i="4"/>
  <c r="D22" i="4"/>
  <c r="D23" i="4"/>
  <c r="D24" i="4"/>
  <c r="D25" i="4"/>
  <c r="D26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4" i="4"/>
  <c r="D55" i="4"/>
  <c r="D31" i="4"/>
</calcChain>
</file>

<file path=xl/sharedStrings.xml><?xml version="1.0" encoding="utf-8"?>
<sst xmlns="http://schemas.openxmlformats.org/spreadsheetml/2006/main" count="432" uniqueCount="208">
  <si>
    <t>txt_Password</t>
  </si>
  <si>
    <t>txt_UserName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</si>
  <si>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</si>
  <si>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</si>
  <si>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</si>
  <si>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</si>
  <si>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</si>
  <si>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</si>
  <si>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</si>
  <si>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</si>
  <si>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</si>
  <si>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UserManager</t>
  </si>
  <si>
    <t>Authentificate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</si>
  <si>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</si>
  <si>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</si>
  <si>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</si>
  <si>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</si>
  <si>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</si>
  <si>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</si>
  <si>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</si>
  <si>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</si>
  <si>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</si>
  <si>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</si>
  <si>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</si>
  <si>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</si>
  <si>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</si>
  <si>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</si>
  <si>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Processus</t>
  </si>
  <si>
    <t>Icone</t>
  </si>
  <si>
    <t>code is alive - data generator</t>
  </si>
  <si>
    <t>Successful authentification</t>
  </si>
  <si>
    <t>mssql_table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</si>
  <si>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</si>
  <si>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</si>
  <si>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</si>
  <si>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</si>
  <si>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</si>
  <si>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</si>
  <si>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</si>
  <si>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</si>
  <si>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</si>
  <si>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</si>
  <si>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</si>
  <si>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</si>
  <si>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</si>
  <si>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</si>
  <si>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</si>
  <si>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</si>
  <si>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</si>
  <si>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</si>
  <si>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</si>
  <si>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</si>
  <si>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</si>
  <si>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</si>
  <si>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</si>
  <si>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</si>
  <si>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</si>
  <si>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EtatDeMemoire (options/data)</t>
  </si>
  <si>
    <t>UserName</t>
  </si>
  <si>
    <t>wou@tata.com</t>
  </si>
  <si>
    <t>vivi@titi.com</t>
  </si>
  <si>
    <t>Tata</t>
  </si>
  <si>
    <t>csharp_class</t>
  </si>
  <si>
    <t>csharp_method</t>
  </si>
  <si>
    <t>mssql_db</t>
  </si>
  <si>
    <t>system_folder</t>
  </si>
  <si>
    <t>blackbox</t>
  </si>
  <si>
    <t>Welcome Toto !</t>
  </si>
  <si>
    <t>toto</t>
  </si>
  <si>
    <t>Action</t>
  </si>
  <si>
    <t>appelle</t>
  </si>
  <si>
    <t>Illustration</t>
  </si>
  <si>
    <t>Entete1</t>
  </si>
  <si>
    <t>Variable1</t>
  </si>
  <si>
    <t>Variable2</t>
  </si>
  <si>
    <t>Valeur1</t>
  </si>
  <si>
    <t>Valeur2</t>
  </si>
  <si>
    <t>Entete2</t>
  </si>
  <si>
    <t>Entête3</t>
  </si>
  <si>
    <t>l1c1</t>
  </si>
  <si>
    <t>l1c2</t>
  </si>
  <si>
    <t>l1c3</t>
  </si>
  <si>
    <t>l2c1</t>
  </si>
  <si>
    <t>l2c2</t>
  </si>
  <si>
    <t>l2c3</t>
  </si>
  <si>
    <t xml:space="preserve">2 types de tableaux </t>
  </si>
  <si>
    <t>Les icônes</t>
  </si>
  <si>
    <t>Les illustrations</t>
  </si>
  <si>
    <t>Les actions</t>
  </si>
  <si>
    <t>Variable3</t>
  </si>
  <si>
    <t>Variable4</t>
  </si>
  <si>
    <t>Valeur3</t>
  </si>
  <si>
    <t>Valeur4</t>
  </si>
  <si>
    <t>u</t>
  </si>
  <si>
    <t>d</t>
  </si>
  <si>
    <t>.</t>
  </si>
  <si>
    <t>EtatDeMemoire</t>
  </si>
  <si>
    <t>monimage.gif</t>
  </si>
  <si>
    <t>Le tableau à entête vertical ne peut se situer qu'au début de l'état de mémoire</t>
  </si>
  <si>
    <r>
      <t>Valeur1</t>
    </r>
    <r>
      <rPr>
        <sz val="11"/>
        <color theme="7" tint="-0.249977111117893"/>
        <rFont val="Calibri"/>
        <family val="2"/>
        <scheme val="minor"/>
      </rPr>
      <t>[c]</t>
    </r>
  </si>
  <si>
    <t>le "&gt;" marque le début d'un tableau à entête horizontale, il peut y en avoir un ou plusieurs, à dimension variable.</t>
  </si>
  <si>
    <t>A mettre à la fin</t>
  </si>
  <si>
    <t>csharp_staticclass</t>
  </si>
  <si>
    <t>.2</t>
  </si>
  <si>
    <t>.3</t>
  </si>
  <si>
    <t>.4</t>
  </si>
  <si>
    <t>.5</t>
  </si>
  <si>
    <t>.6</t>
  </si>
  <si>
    <t>.7</t>
  </si>
  <si>
    <t>.8</t>
  </si>
  <si>
    <t>.9</t>
  </si>
  <si>
    <t>.10</t>
  </si>
  <si>
    <t>.11</t>
  </si>
  <si>
    <t>.12</t>
  </si>
  <si>
    <t>.13</t>
  </si>
  <si>
    <t>.14</t>
  </si>
  <si>
    <t>.15</t>
  </si>
  <si>
    <t>.16</t>
  </si>
  <si>
    <t>.17</t>
  </si>
  <si>
    <t>.18</t>
  </si>
  <si>
    <t>.19</t>
  </si>
  <si>
    <t>.20</t>
  </si>
  <si>
    <t>.21</t>
  </si>
  <si>
    <t>.22</t>
  </si>
  <si>
    <t>.23</t>
  </si>
  <si>
    <t>.24</t>
  </si>
  <si>
    <t>.25</t>
  </si>
  <si>
    <t>.26</t>
  </si>
  <si>
    <t>.27</t>
  </si>
  <si>
    <t>.28</t>
  </si>
  <si>
    <t>.29</t>
  </si>
  <si>
    <t>false</t>
  </si>
  <si>
    <t>Icones</t>
  </si>
  <si>
    <t>ORM</t>
  </si>
  <si>
    <t>code-is-alive.xlsm</t>
  </si>
  <si>
    <t>dataSheet</t>
  </si>
  <si>
    <t>excel_sheet</t>
  </si>
  <si>
    <t>excel_file</t>
  </si>
  <si>
    <t>excel_table</t>
  </si>
  <si>
    <t>data</t>
  </si>
  <si>
    <t>json_file</t>
  </si>
  <si>
    <t>index.html</t>
  </si>
  <si>
    <t>tools</t>
  </si>
  <si>
    <t>generateTable</t>
  </si>
  <si>
    <t>components</t>
  </si>
  <si>
    <t>initializationUserInterface.js</t>
  </si>
  <si>
    <t>js_function</t>
  </si>
  <si>
    <t>js_object</t>
  </si>
  <si>
    <t>js_file</t>
  </si>
  <si>
    <t>Création et affichage d'éléments</t>
  </si>
  <si>
    <t>Affichage de tous les processus</t>
  </si>
  <si>
    <t>Processus commun</t>
  </si>
  <si>
    <t>main.js</t>
  </si>
  <si>
    <t>domjs.js</t>
  </si>
  <si>
    <t>Thisworkbook</t>
  </si>
  <si>
    <t>ui-process.js</t>
  </si>
  <si>
    <t>CodeIsAlive.json</t>
  </si>
  <si>
    <t>Viewcollection_js</t>
  </si>
  <si>
    <t>View_js</t>
  </si>
  <si>
    <t>Element_js</t>
  </si>
  <si>
    <t>Link_js</t>
  </si>
  <si>
    <t>ProcessDrawer_js</t>
  </si>
  <si>
    <t>JsonifyElementsAndProcess_vba</t>
  </si>
  <si>
    <t>JsonifyElements_vba</t>
  </si>
  <si>
    <t>JsonifyProcess_vba</t>
  </si>
  <si>
    <t>MOD_ToJson</t>
  </si>
  <si>
    <t>WindowUI.js</t>
  </si>
  <si>
    <t>WindowsUI.js</t>
  </si>
  <si>
    <t>repeatFunction.js</t>
  </si>
  <si>
    <t>easeFunctions.js</t>
  </si>
  <si>
    <t>map.drawing</t>
  </si>
  <si>
    <t>table_Processus</t>
  </si>
  <si>
    <t>table_Elements</t>
  </si>
  <si>
    <t>vba_module</t>
  </si>
  <si>
    <t>vba_function</t>
  </si>
  <si>
    <t>vba_sheet</t>
  </si>
  <si>
    <t>∃ ?</t>
  </si>
  <si>
    <t>JsonData</t>
  </si>
  <si>
    <t>Création et affichage d'un processus manuel</t>
  </si>
  <si>
    <t>Afficher étape suivante</t>
  </si>
  <si>
    <t>canvas-main</t>
  </si>
  <si>
    <t>Excel</t>
  </si>
  <si>
    <t>VBA Project</t>
  </si>
  <si>
    <t>Web browser</t>
  </si>
  <si>
    <t>application_browser</t>
  </si>
  <si>
    <t>Presentation layer</t>
  </si>
  <si>
    <t>Application layer Excel</t>
  </si>
  <si>
    <t>Application layer JS</t>
  </si>
  <si>
    <t>dynamic.dom</t>
  </si>
  <si>
    <t>abstract_folder</t>
  </si>
  <si>
    <t>File system</t>
  </si>
  <si>
    <t>lib.js</t>
  </si>
  <si>
    <t>lib.css</t>
  </si>
  <si>
    <t>Naming convention</t>
  </si>
  <si>
    <t>Stève ARNOULT</t>
  </si>
  <si>
    <t>SteveARNOULT</t>
  </si>
  <si>
    <t>steveArnoult</t>
  </si>
  <si>
    <t>ImageManager.js</t>
  </si>
  <si>
    <t>geometry.js</t>
  </si>
  <si>
    <t>loading-modal.js</t>
  </si>
  <si>
    <t>menu-bottom.js</t>
  </si>
  <si>
    <t>menu-left.js</t>
  </si>
  <si>
    <t>unit.test</t>
  </si>
  <si>
    <t>loading-modal</t>
  </si>
  <si>
    <t>menu-bottom</t>
  </si>
  <si>
    <t>menu-bottom-right</t>
  </si>
  <si>
    <t>ui-action</t>
  </si>
  <si>
    <t>ui-process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</si>
</sst>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3" applyNumberFormat="0" applyFill="0" applyAlignment="0" applyProtection="0"/>
  </cellStyleXfs>
  <cellXfs count="27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2" fillId="4" borderId="1" xfId="1" applyFill="1" applyBorder="1" applyAlignment="1">
      <alignment horizontal="left" vertical="center" indent="1"/>
    </xf>
    <xf numFmtId="0" fontId="0" fillId="0" borderId="0" xfId="0" applyFill="1"/>
    <xf numFmtId="0" fontId="0" fillId="5" borderId="0" xfId="0" applyFill="1"/>
    <xf numFmtId="0" fontId="0" fillId="5" borderId="2" xfId="0" applyFill="1" applyBorder="1"/>
    <xf numFmtId="0" fontId="3" fillId="0" borderId="3" xfId="2"/>
    <xf numFmtId="0" fontId="0" fillId="5" borderId="0" xfId="0" applyFill="1" applyAlignment="1">
      <alignment horizontal="center"/>
    </xf>
    <xf numFmtId="0" fontId="0" fillId="0" borderId="0" xfId="0" applyFont="1" applyFill="1"/>
    <xf numFmtId="0" fontId="6" fillId="2" borderId="0" xfId="0" applyFont="1" applyFill="1"/>
    <xf numFmtId="0" fontId="0" fillId="0" borderId="4" xfId="0" applyFont="1" applyBorder="1"/>
    <xf numFmtId="0" fontId="0" fillId="0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5" xfId="0" applyFont="1" applyBorder="1"/>
    <xf numFmtId="0" fontId="0" fillId="0" borderId="6" xfId="0" applyFont="1" applyBorder="1"/>
    <xf numFmtId="0" fontId="0" fillId="0" borderId="0" xfId="0" applyNumberFormat="1" applyAlignment="1">
      <alignment horizontal="center"/>
    </xf>
    <xf numFmtId="0" fontId="0" fillId="0" borderId="5" xfId="0" applyNumberFormat="1" applyFont="1" applyBorder="1"/>
    <xf numFmtId="0" fontId="0" fillId="0" borderId="0" xfId="0" applyFont="1"/>
  </cellXfs>
  <cellStyles count="3">
    <cellStyle name="Normal" xfId="0" builtinId="0"/>
    <cellStyle name="Titre" xfId="1" builtinId="15"/>
    <cellStyle name="Titre 3" xfId="2" builtinId="18"/>
  </cellStyles>
  <dxfs count="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942974</xdr:colOff>
      <xdr:row>0</xdr:row>
      <xdr:rowOff>95251</xdr:rowOff>
    </xdr:from>
    <xdr:to>
      <xdr:col>3</xdr:col>
      <xdr:colOff>723899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4BC987A5-CBDD-43FA-9BA4-5F9D85FD7952}"/>
            </a:ext>
          </a:extLst>
        </xdr:cNvPr>
        <xdr:cNvSpPr/>
      </xdr:nvSpPr>
      <xdr:spPr>
        <a:xfrm>
          <a:off x="463867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9524</xdr:colOff>
      <xdr:row>0</xdr:row>
      <xdr:rowOff>95251</xdr:rowOff>
    </xdr:from>
    <xdr:to>
      <xdr:col>3</xdr:col>
      <xdr:colOff>1047749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1AF957FE-3F2D-43BC-92C3-84373F026916}"/>
            </a:ext>
          </a:extLst>
        </xdr:cNvPr>
        <xdr:cNvSpPr/>
      </xdr:nvSpPr>
      <xdr:spPr>
        <a:xfrm>
          <a:off x="435292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B73D08-8BB4-4F4D-82CD-CE3282744296}" name="table_Process5" displayName="table_Process5" ref="B58:AH63" totalsRowShown="0" headerRowDxfId="21">
  <autoFilter ref="B58:AH63" xr:uid="{24C57F05-4B8A-459B-938F-C903D42F709A}"/>
  <tableColumns count="33">
    <tableColumn id="1" xr3:uid="{9F6C0E62-FAB8-4699-A034-952232E908C3}" name="Processus"/>
    <tableColumn id="2" xr3:uid="{F2E96BE2-F47E-4DC6-B12D-8AEFD4327551}" name="Element" dataDxfId="20"/>
    <tableColumn id="3" xr3:uid="{3311BCD7-6854-4F77-8F16-B70C336D1B76}" name="Element2" dataDxfId="19"/>
    <tableColumn id="4" xr3:uid="{D50FC5C2-6379-4F09-9EBD-BA1AB0C38757}" name="EtatDeMemoire" dataDxfId="18"/>
    <tableColumn id="5" xr3:uid="{20468508-38CE-4D89-BE29-C2A2F76144AF}" name="." dataDxfId="17"/>
    <tableColumn id="6" xr3:uid="{33C43241-A14C-4F17-BC8D-280570C5A265}" name=".2"/>
    <tableColumn id="7" xr3:uid="{3DB0FA11-2436-4AF2-9F3D-2F3B93CB377A}" name=".3"/>
    <tableColumn id="8" xr3:uid="{2723902F-6930-4E0F-9F03-28B16A468BB5}" name=".4"/>
    <tableColumn id="9" xr3:uid="{3374B3E4-9FAA-4831-A193-178539646AF4}" name=".5"/>
    <tableColumn id="10" xr3:uid="{6850445C-0343-44C6-885E-D49EFDEF0144}" name=".6"/>
    <tableColumn id="11" xr3:uid="{972FC58F-E702-4B58-84E8-3D024996DFC1}" name=".7"/>
    <tableColumn id="12" xr3:uid="{2990F252-452D-43A3-9026-B359B8C37410}" name=".8"/>
    <tableColumn id="13" xr3:uid="{7ED7B68F-D28A-45AE-800B-25B682C222BA}" name=".9"/>
    <tableColumn id="14" xr3:uid="{77CBD248-ED37-4EC0-A63D-B59212FE3D15}" name=".10"/>
    <tableColumn id="15" xr3:uid="{2459E728-C988-4E46-A113-D8DB32BAFE1C}" name=".11"/>
    <tableColumn id="16" xr3:uid="{F672DBFD-E0CB-4869-AA27-A201A9D3F57B}" name=".12"/>
    <tableColumn id="17" xr3:uid="{5E5AFC9B-17A7-4020-89F5-D96916D01CBA}" name=".13"/>
    <tableColumn id="18" xr3:uid="{452D1AAF-47BE-471A-BB44-A0CAFB1B555D}" name=".14"/>
    <tableColumn id="19" xr3:uid="{D0320CE1-9AF4-4E99-AD1F-3A71CD6081D7}" name=".15"/>
    <tableColumn id="20" xr3:uid="{7DFF3C50-AA88-412E-BD7D-DDA6B6C2E2B3}" name=".16"/>
    <tableColumn id="21" xr3:uid="{8D404ABC-9EA6-48DB-99E9-9E3FCD8F10D5}" name=".17"/>
    <tableColumn id="22" xr3:uid="{21877140-731D-4EA7-8395-6D7E78FA350D}" name=".18"/>
    <tableColumn id="23" xr3:uid="{1306037F-6AE4-4962-84BD-3AE728F7BB46}" name=".19"/>
    <tableColumn id="24" xr3:uid="{C7B837C5-172B-477A-92C8-F99C1FCF457D}" name=".20"/>
    <tableColumn id="25" xr3:uid="{724B03F8-8C47-49CC-88ED-A5E9014B8D2C}" name=".21"/>
    <tableColumn id="26" xr3:uid="{40F4536E-C08A-4A85-8158-093302C447BC}" name=".22"/>
    <tableColumn id="27" xr3:uid="{EA193C0C-3DF0-4449-BC1D-84B3D72A5F31}" name=".23"/>
    <tableColumn id="28" xr3:uid="{6424521F-324B-46D8-9187-22BEC8706EC7}" name=".24"/>
    <tableColumn id="29" xr3:uid="{2402F34D-385C-4AFA-836D-E4AFC1987A1E}" name=".25"/>
    <tableColumn id="30" xr3:uid="{399EF295-6238-42DC-B1C8-906D2FF14F81}" name=".26"/>
    <tableColumn id="31" xr3:uid="{CA160D7F-82D3-4E31-BB31-6217D28E3C1E}" name=".27"/>
    <tableColumn id="32" xr3:uid="{56F05261-9DA1-4DD5-A72F-097D8E2F0E76}" name=".28"/>
    <tableColumn id="33" xr3:uid="{C86E890A-C15D-4B49-B2E1-BC4CDEC43338}" name=".2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247FC-1A41-4727-9722-4B312866884E}" name="table_Elements6" displayName="table_Elements6" ref="B3:D56" totalsRowShown="0" headerRowDxfId="16">
  <autoFilter ref="B3:D56" xr:uid="{75313CCB-0942-4F65-9BAB-3D9D020DF66A}"/>
  <tableColumns count="3">
    <tableColumn id="1" xr3:uid="{B2016D87-5750-4265-BDEE-337272EE7911}" name="Element"/>
    <tableColumn id="2" xr3:uid="{8A98C5CC-820B-45C3-8301-EEAE45FEDD38}" name="Icone"/>
    <tableColumn id="3" xr3:uid="{6531FCD0-1245-4D18-B840-E221A7999F34}" name="∃ ?" dataDxfId="15">
      <calculatedColumnFormula>IF(IFERROR(VLOOKUP(table_Elements6[[#This Row],[Icone]],ICONES!A:A,1,FALSE),"ERREUR")="ERREUR","!","v")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8B126-0DBE-42A5-A3C6-903740664657}" name="table_Process" displayName="table_Process" ref="B30:AH63" totalsRowShown="0" headerRowDxfId="14">
  <autoFilter ref="B30:AH63" xr:uid="{24C57F05-4B8A-459B-938F-C903D42F709A}"/>
  <tableColumns count="33">
    <tableColumn id="1" xr3:uid="{8B510027-187C-42A8-9E04-38C2045C0619}" name="Processus"/>
    <tableColumn id="2" xr3:uid="{4FB11764-22D5-4959-8B51-0340D8D11C19}" name="Element" dataDxfId="13"/>
    <tableColumn id="3" xr3:uid="{CE982249-CF0A-4149-9710-A7F6CA0F579F}" name="Element2" dataDxfId="12"/>
    <tableColumn id="4" xr3:uid="{F8A18523-AF2C-4500-B70D-1569F5B4E413}" name="EtatDeMemoire" dataDxfId="11"/>
    <tableColumn id="5" xr3:uid="{2A78F839-FB1B-4A66-8AC4-205A5FD1C19E}" name="." dataDxfId="10"/>
    <tableColumn id="6" xr3:uid="{120366F8-D6BA-4CEE-8AD1-E30848058DD4}" name=".2"/>
    <tableColumn id="7" xr3:uid="{C36675E3-05CE-448B-908F-44EBD2CDBF24}" name=".3"/>
    <tableColumn id="8" xr3:uid="{B03AC39C-D794-43E9-B851-532799B33D3E}" name=".4"/>
    <tableColumn id="9" xr3:uid="{3DCBA385-CC47-44B6-8D6E-33BF19221968}" name=".5"/>
    <tableColumn id="10" xr3:uid="{834E4618-E7E1-4C77-BF22-A83A9B0837CA}" name=".6"/>
    <tableColumn id="11" xr3:uid="{50CD2D1D-5C29-4CB4-8B85-6F6AAA108F0E}" name=".7"/>
    <tableColumn id="12" xr3:uid="{BD628F5F-CF45-46A8-A953-1845AEA9AF6F}" name=".8"/>
    <tableColumn id="13" xr3:uid="{4DE572B2-0D61-476D-98F4-0625F752E551}" name=".9"/>
    <tableColumn id="14" xr3:uid="{692FAF17-A9F8-4C20-8B1C-CC2A2160FBC2}" name=".10"/>
    <tableColumn id="15" xr3:uid="{7A5BA6A0-46A8-4023-AE74-DC97C32D3DFF}" name=".11"/>
    <tableColumn id="16" xr3:uid="{69739434-C41A-474A-AD9E-899D3456B737}" name=".12"/>
    <tableColumn id="17" xr3:uid="{A8D893EE-01B9-4768-A671-8F11AA4C389E}" name=".13"/>
    <tableColumn id="18" xr3:uid="{5112B022-5E93-4F13-A323-4DC7CC5A874B}" name=".14"/>
    <tableColumn id="19" xr3:uid="{2DCF2CF3-CEAF-4ADB-B14F-9D9198E28169}" name=".15"/>
    <tableColumn id="20" xr3:uid="{5B17F498-742F-4B41-AD2E-052C2EA65608}" name=".16"/>
    <tableColumn id="21" xr3:uid="{54D813B9-998E-40AE-A435-1D702A9E95B9}" name=".17"/>
    <tableColumn id="22" xr3:uid="{E4FFF46E-443A-4BE2-89C3-1C830C35517A}" name=".18"/>
    <tableColumn id="23" xr3:uid="{66E96138-0A83-4996-B63F-E9F66DE30D96}" name=".19"/>
    <tableColumn id="24" xr3:uid="{727EC613-5903-4ECF-9E4C-C23991BED3D5}" name=".20"/>
    <tableColumn id="25" xr3:uid="{CA621750-AAD2-4C8B-9C55-C89576B8B940}" name=".21"/>
    <tableColumn id="26" xr3:uid="{09FFD82D-2E9D-47C3-83F1-1463FE5C8048}" name=".22"/>
    <tableColumn id="27" xr3:uid="{723F80CD-0EA1-48DB-81B2-81F44347959E}" name=".23"/>
    <tableColumn id="28" xr3:uid="{BF1ABAE0-66EB-488F-A1D0-ABDB050DD4C6}" name=".24"/>
    <tableColumn id="29" xr3:uid="{C50E0D48-B469-439F-A080-35BF64106C0C}" name=".25"/>
    <tableColumn id="30" xr3:uid="{2A196838-77C1-426C-B060-3510D0CC7E51}" name=".26"/>
    <tableColumn id="31" xr3:uid="{E0724AB2-99A4-4710-9D72-DAD23904F031}" name=".27"/>
    <tableColumn id="32" xr3:uid="{4116C42B-13A3-4B31-BF2D-7A6AD519EDF2}" name=".28"/>
    <tableColumn id="33" xr3:uid="{DE8C06C3-ED43-4F71-8FC3-C8570D7217FF}" name=".29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716325-128E-4AA5-9638-CCEA829A3618}" name="table_Elements" displayName="table_Elements" ref="B3:D27" totalsRowShown="0" headerRowDxfId="9">
  <autoFilter ref="B3:D27" xr:uid="{75313CCB-0942-4F65-9BAB-3D9D020DF66A}"/>
  <tableColumns count="3">
    <tableColumn id="1" xr3:uid="{45304C0F-B830-4BD1-AA94-69A4647F188B}" name="Element"/>
    <tableColumn id="2" xr3:uid="{FD98DEE9-F9BC-40E0-8D76-F68A5DF279DC}" name="Icone"/>
    <tableColumn id="3" xr3:uid="{F4BA6D32-5D92-4F41-8CBB-0D3AE2BC1AE6}" name="∃ ?" dataDxfId="8">
      <calculatedColumnFormula>IF(IFERROR(VLOOKUP(table_Elements6[[#This Row],[Icone]],ICONES!A:A,1,FALSE),"ERREUR")="ERREUR","!","v")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BBB387-35B2-4CC3-A192-3F1B1A35DD12}" name="table_Icone" displayName="table_Icone" ref="A1:C24" totalsRowShown="0" dataDxfId="7" tableBorderDxfId="6">
  <autoFilter ref="A1:C24" xr:uid="{388AD48F-A17F-486E-830B-F3A3896421B5}"/>
  <sortState ref="A2:A22">
    <sortCondition ref="A1:A22"/>
  </sortState>
  <tableColumns count="3">
    <tableColumn id="1" xr3:uid="{0E53CCA4-56FF-4676-9D86-F71270613ED0}" name="Icones" dataDxfId="5"/>
    <tableColumn id="3" xr3:uid="{8AC84383-F603-4CAE-ADBB-D7E4D7625449}" name="Naming convention" dataDxfId="4"/>
    <tableColumn id="2" xr3:uid="{0844B133-5256-4722-9423-CE3E5A59B2E6}" name="JsonData" dataDxfId="3">
      <calculatedColumnFormula>"{id: """&amp;table_Icone[[#This Row],[Icones]]&amp;""", src:""./images/"&amp;table_Icone[[#This Row],[Icones]]&amp;".png""},"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6E50-D182-4779-B5F7-DD15DE2E8BC3}">
  <sheetPr codeName="Feuil3"/>
  <dimension ref="A1:AH63"/>
  <sheetViews>
    <sheetView tabSelected="1" workbookViewId="0">
      <selection activeCell="B19" sqref="B19"/>
    </sheetView>
  </sheetViews>
  <sheetFormatPr baseColWidth="10" defaultRowHeight="15" x14ac:dyDescent="0.25"/>
  <cols>
    <col min="1" max="1" width="14.5703125" bestFit="1" customWidth="1"/>
    <col min="2" max="2" width="40.85546875" customWidth="1"/>
    <col min="3" max="3" width="18.85546875" bestFit="1" customWidth="1"/>
    <col min="4" max="4" width="11.7109375" bestFit="1" customWidth="1"/>
    <col min="5" max="5" width="17.28515625" bestFit="1" customWidth="1"/>
    <col min="6" max="6" width="15.7109375" style="4" bestFit="1" customWidth="1"/>
    <col min="7" max="7" width="16.5703125" bestFit="1" customWidth="1"/>
    <col min="8" max="8" width="16.140625" bestFit="1" customWidth="1"/>
  </cols>
  <sheetData>
    <row r="1" spans="1:6" s="9" customFormat="1" ht="39" customHeight="1" x14ac:dyDescent="0.25">
      <c r="A1" s="11" t="s">
        <v>29</v>
      </c>
      <c r="F1" s="10"/>
    </row>
    <row r="3" spans="1:6" x14ac:dyDescent="0.25">
      <c r="A3" s="8" t="s">
        <v>53</v>
      </c>
      <c r="B3" s="7" t="s">
        <v>25</v>
      </c>
      <c r="C3" s="7" t="s">
        <v>28</v>
      </c>
      <c r="D3" s="21" t="s">
        <v>176</v>
      </c>
    </row>
    <row r="4" spans="1:6" x14ac:dyDescent="0.25">
      <c r="B4" s="3" t="s">
        <v>21</v>
      </c>
      <c r="C4" s="22" t="s">
        <v>189</v>
      </c>
      <c r="D4" s="4" t="str">
        <f>IF(IFERROR(VLOOKUP(table_Elements6[[#This Row],[Icone]],ICONES!A:A,1,FALSE),"ERREUR")="ERREUR","!","v")</f>
        <v>v</v>
      </c>
    </row>
    <row r="5" spans="1:6" x14ac:dyDescent="0.25">
      <c r="B5" s="1" t="s">
        <v>4</v>
      </c>
      <c r="C5" t="s">
        <v>34</v>
      </c>
      <c r="D5" s="4" t="str">
        <f>IF(IFERROR(VLOOKUP(table_Elements6[[#This Row],[Icone]],ICONES!A:A,1,FALSE),"ERREUR")="ERREUR","!","v")</f>
        <v>v</v>
      </c>
      <c r="E5" s="1"/>
    </row>
    <row r="6" spans="1:6" x14ac:dyDescent="0.25">
      <c r="B6" s="3" t="s">
        <v>185</v>
      </c>
      <c r="C6" s="22" t="s">
        <v>189</v>
      </c>
      <c r="D6" s="24" t="str">
        <f>IF(IFERROR(VLOOKUP(table_Elements6[[#This Row],[Icone]],ICONES!A:A,1,FALSE),"ERREUR")="ERREUR","!","v")</f>
        <v>v</v>
      </c>
      <c r="E6" s="1"/>
    </row>
    <row r="7" spans="1:6" x14ac:dyDescent="0.25">
      <c r="B7" s="1" t="s">
        <v>181</v>
      </c>
      <c r="C7" s="22" t="s">
        <v>189</v>
      </c>
      <c r="D7" s="24" t="str">
        <f>IF(IFERROR(VLOOKUP(table_Elements6[[#This Row],[Icone]],ICONES!A:A,1,FALSE),"ERREUR")="ERREUR","!","v")</f>
        <v>v</v>
      </c>
      <c r="E7" s="1"/>
    </row>
    <row r="8" spans="1:6" x14ac:dyDescent="0.25">
      <c r="B8" s="2" t="s">
        <v>134</v>
      </c>
      <c r="C8" t="s">
        <v>137</v>
      </c>
      <c r="D8" s="4" t="str">
        <f>IF(IFERROR(VLOOKUP(table_Elements6[[#This Row],[Icone]],ICONES!A:A,1,FALSE),"ERREUR")="ERREUR","!","v")</f>
        <v>v</v>
      </c>
      <c r="E8" s="3"/>
    </row>
    <row r="9" spans="1:6" x14ac:dyDescent="0.25">
      <c r="B9" s="5" t="s">
        <v>135</v>
      </c>
      <c r="C9" t="s">
        <v>136</v>
      </c>
      <c r="D9" s="4" t="str">
        <f>IF(IFERROR(VLOOKUP(table_Elements6[[#This Row],[Icone]],ICONES!A:A,1,FALSE),"ERREUR")="ERREUR","!","v")</f>
        <v>v</v>
      </c>
      <c r="E9" s="1"/>
    </row>
    <row r="10" spans="1:6" x14ac:dyDescent="0.25">
      <c r="B10" s="6" t="s">
        <v>172</v>
      </c>
      <c r="C10" t="s">
        <v>138</v>
      </c>
      <c r="D10" s="4" t="str">
        <f>IF(IFERROR(VLOOKUP(table_Elements6[[#This Row],[Icone]],ICONES!A:A,1,FALSE),"ERREUR")="ERREUR","!","v")</f>
        <v>v</v>
      </c>
      <c r="E10" s="2"/>
    </row>
    <row r="11" spans="1:6" x14ac:dyDescent="0.25">
      <c r="B11" s="6" t="s">
        <v>171</v>
      </c>
      <c r="C11" t="s">
        <v>138</v>
      </c>
      <c r="D11" s="4" t="str">
        <f>IF(IFERROR(VLOOKUP(table_Elements6[[#This Row],[Icone]],ICONES!A:A,1,FALSE),"ERREUR")="ERREUR","!","v")</f>
        <v>v</v>
      </c>
      <c r="E11" s="5"/>
    </row>
    <row r="12" spans="1:6" x14ac:dyDescent="0.25">
      <c r="B12" s="1" t="s">
        <v>183</v>
      </c>
      <c r="C12" t="s">
        <v>184</v>
      </c>
      <c r="D12" s="24" t="str">
        <f>IF(IFERROR(VLOOKUP(table_Elements6[[#This Row],[Icone]],ICONES!A:A,1,FALSE),"ERREUR")="ERREUR","!","v")</f>
        <v>v</v>
      </c>
      <c r="E12" s="1"/>
    </row>
    <row r="13" spans="1:6" x14ac:dyDescent="0.25">
      <c r="B13" s="2" t="s">
        <v>141</v>
      </c>
      <c r="C13" t="s">
        <v>33</v>
      </c>
      <c r="D13" s="24" t="str">
        <f>IF(IFERROR(VLOOKUP(table_Elements6[[#This Row],[Icone]],ICONES!A:A,1,FALSE),"ERREUR")="ERREUR","!","v")</f>
        <v>v</v>
      </c>
      <c r="E13" s="1"/>
    </row>
    <row r="14" spans="1:6" x14ac:dyDescent="0.25">
      <c r="B14" s="5" t="s">
        <v>203</v>
      </c>
      <c r="C14" t="s">
        <v>32</v>
      </c>
      <c r="D14" s="24" t="str">
        <f>IF(IFERROR(VLOOKUP(table_Elements6[[#This Row],[Icone]],ICONES!A:A,1,FALSE),"ERREUR")="ERREUR","!","v")</f>
        <v>v</v>
      </c>
      <c r="E14" s="1"/>
    </row>
    <row r="15" spans="1:6" x14ac:dyDescent="0.25">
      <c r="B15" s="5" t="s">
        <v>180</v>
      </c>
      <c r="C15" t="s">
        <v>32</v>
      </c>
      <c r="D15" s="24" t="str">
        <f>IF(IFERROR(VLOOKUP(table_Elements6[[#This Row],[Icone]],ICONES!A:A,1,FALSE),"ERREUR")="ERREUR","!","v")</f>
        <v>v</v>
      </c>
      <c r="E15" s="1"/>
    </row>
    <row r="16" spans="1:6" x14ac:dyDescent="0.25">
      <c r="B16" s="5" t="s">
        <v>205</v>
      </c>
      <c r="C16" t="s">
        <v>32</v>
      </c>
      <c r="D16" s="24" t="str">
        <f>IF(IFERROR(VLOOKUP(table_Elements6[[#This Row],[Icone]],ICONES!A:A,1,FALSE),"ERREUR")="ERREUR","!","v")</f>
        <v>v</v>
      </c>
      <c r="E16" s="1"/>
    </row>
    <row r="17" spans="2:5" x14ac:dyDescent="0.25">
      <c r="B17" s="5" t="s">
        <v>204</v>
      </c>
      <c r="C17" t="s">
        <v>32</v>
      </c>
      <c r="D17" s="24" t="str">
        <f>IF(IFERROR(VLOOKUP(table_Elements6[[#This Row],[Icone]],ICONES!A:A,1,FALSE),"ERREUR")="ERREUR","!","v")</f>
        <v>v</v>
      </c>
      <c r="E17" s="1"/>
    </row>
    <row r="18" spans="2:5" x14ac:dyDescent="0.25">
      <c r="B18" s="5" t="s">
        <v>206</v>
      </c>
      <c r="C18" t="s">
        <v>32</v>
      </c>
      <c r="D18" s="24" t="str">
        <f>IF(IFERROR(VLOOKUP(table_Elements6[[#This Row],[Icone]],ICONES!A:A,1,FALSE),"ERREUR")="ERREUR","!","v")</f>
        <v>v</v>
      </c>
      <c r="E18" s="1"/>
    </row>
    <row r="19" spans="2:5" x14ac:dyDescent="0.25">
      <c r="B19" s="5" t="s">
        <v>207</v>
      </c>
      <c r="C19" t="s">
        <v>32</v>
      </c>
      <c r="D19" s="24" t="str">
        <f>IF(IFERROR(VLOOKUP(table_Elements6[[#This Row],[Icone]],ICONES!A:A,1,FALSE),"ERREUR")="ERREUR","!","v")</f>
        <v>v</v>
      </c>
      <c r="E19" s="1"/>
    </row>
    <row r="20" spans="2:5" x14ac:dyDescent="0.25">
      <c r="B20" s="3" t="s">
        <v>186</v>
      </c>
      <c r="C20" s="22" t="s">
        <v>189</v>
      </c>
      <c r="D20" s="24" t="str">
        <f>IF(IFERROR(VLOOKUP(table_Elements6[[#This Row],[Icone]],ICONES!A:A,1,FALSE),"ERREUR")="ERREUR","!","v")</f>
        <v>v</v>
      </c>
      <c r="E20" s="1"/>
    </row>
    <row r="21" spans="2:5" x14ac:dyDescent="0.25">
      <c r="B21" s="1" t="s">
        <v>182</v>
      </c>
      <c r="C21" s="22" t="s">
        <v>189</v>
      </c>
      <c r="D21" s="24" t="str">
        <f>IF(IFERROR(VLOOKUP(table_Elements6[[#This Row],[Icone]],ICONES!A:A,1,FALSE),"ERREUR")="ERREUR","!","v")</f>
        <v>v</v>
      </c>
      <c r="E21" s="5"/>
    </row>
    <row r="22" spans="2:5" x14ac:dyDescent="0.25">
      <c r="B22" s="2" t="s">
        <v>165</v>
      </c>
      <c r="C22" t="s">
        <v>173</v>
      </c>
      <c r="D22" s="4" t="str">
        <f>IF(IFERROR(VLOOKUP(table_Elements6[[#This Row],[Icone]],ICONES!A:A,1,FALSE),"ERREUR")="ERREUR","!","v")</f>
        <v>v</v>
      </c>
      <c r="E22" s="2"/>
    </row>
    <row r="23" spans="2:5" x14ac:dyDescent="0.25">
      <c r="B23" s="5" t="s">
        <v>162</v>
      </c>
      <c r="C23" t="s">
        <v>174</v>
      </c>
      <c r="D23" s="4" t="str">
        <f>IF(IFERROR(VLOOKUP(table_Elements6[[#This Row],[Icone]],ICONES!A:A,1,FALSE),"ERREUR")="ERREUR","!","v")</f>
        <v>v</v>
      </c>
      <c r="E23" s="1"/>
    </row>
    <row r="24" spans="2:5" x14ac:dyDescent="0.25">
      <c r="B24" s="5" t="s">
        <v>163</v>
      </c>
      <c r="C24" t="s">
        <v>174</v>
      </c>
      <c r="D24" s="4" t="str">
        <f>IF(IFERROR(VLOOKUP(table_Elements6[[#This Row],[Icone]],ICONES!A:A,1,FALSE),"ERREUR")="ERREUR","!","v")</f>
        <v>v</v>
      </c>
      <c r="E24" s="2"/>
    </row>
    <row r="25" spans="2:5" x14ac:dyDescent="0.25">
      <c r="B25" s="5" t="s">
        <v>164</v>
      </c>
      <c r="C25" t="s">
        <v>174</v>
      </c>
      <c r="D25" s="4" t="str">
        <f>IF(IFERROR(VLOOKUP(table_Elements6[[#This Row],[Icone]],ICONES!A:A,1,FALSE),"ERREUR")="ERREUR","!","v")</f>
        <v>v</v>
      </c>
      <c r="E25" s="1"/>
    </row>
    <row r="26" spans="2:5" x14ac:dyDescent="0.25">
      <c r="B26" s="2" t="s">
        <v>154</v>
      </c>
      <c r="C26" t="s">
        <v>175</v>
      </c>
      <c r="D26" s="4" t="str">
        <f>IF(IFERROR(VLOOKUP(table_Elements6[[#This Row],[Icone]],ICONES!A:A,1,FALSE),"ERREUR")="ERREUR","!","v")</f>
        <v>v</v>
      </c>
      <c r="E26" s="1"/>
    </row>
    <row r="27" spans="2:5" x14ac:dyDescent="0.25">
      <c r="B27" s="1" t="s">
        <v>190</v>
      </c>
      <c r="C27" s="22" t="s">
        <v>189</v>
      </c>
      <c r="D27" s="24" t="str">
        <f>IF(IFERROR(VLOOKUP(table_Elements6[[#This Row],[Icone]],ICONES!A:A,1,FALSE),"ERREUR")="ERREUR","!","v")</f>
        <v>v</v>
      </c>
      <c r="E27" s="1"/>
    </row>
    <row r="28" spans="2:5" x14ac:dyDescent="0.25">
      <c r="B28" s="2" t="s">
        <v>139</v>
      </c>
      <c r="C28" t="s">
        <v>65</v>
      </c>
      <c r="D28" s="24" t="str">
        <f>IF(IFERROR(VLOOKUP(table_Elements6[[#This Row],[Icone]],ICONES!A:A,1,FALSE),"ERREUR")="ERREUR","!","v")</f>
        <v>v</v>
      </c>
      <c r="E28" s="1"/>
    </row>
    <row r="29" spans="2:5" x14ac:dyDescent="0.25">
      <c r="B29" s="5" t="s">
        <v>156</v>
      </c>
      <c r="C29" t="s">
        <v>140</v>
      </c>
      <c r="D29" s="24" t="str">
        <f>IF(IFERROR(VLOOKUP(table_Elements6[[#This Row],[Icone]],ICONES!A:A,1,FALSE),"ERREUR")="ERREUR","!","v")</f>
        <v>v</v>
      </c>
      <c r="E29" s="1"/>
    </row>
    <row r="30" spans="2:5" x14ac:dyDescent="0.25">
      <c r="B30" s="3" t="s">
        <v>187</v>
      </c>
      <c r="C30" s="22" t="s">
        <v>189</v>
      </c>
      <c r="D30" s="24" t="str">
        <f>IF(IFERROR(VLOOKUP(table_Elements6[[#This Row],[Icone]],ICONES!A:A,1,FALSE),"ERREUR")="ERREUR","!","v")</f>
        <v>v</v>
      </c>
      <c r="E30" s="1"/>
    </row>
    <row r="31" spans="2:5" x14ac:dyDescent="0.25">
      <c r="B31" s="1" t="s">
        <v>152</v>
      </c>
      <c r="C31" t="s">
        <v>148</v>
      </c>
      <c r="D31" s="4" t="str">
        <f>IF(IFERROR(VLOOKUP(table_Elements6[[#This Row],[Icone]],ICONES!A:A,1,FALSE),"ERREUR")="ERREUR","!","v")</f>
        <v>v</v>
      </c>
      <c r="E31" s="2"/>
    </row>
    <row r="32" spans="2:5" x14ac:dyDescent="0.25">
      <c r="B32" s="1" t="s">
        <v>170</v>
      </c>
      <c r="C32" t="s">
        <v>65</v>
      </c>
      <c r="D32" s="4" t="str">
        <f>IF(IFERROR(VLOOKUP(table_Elements6[[#This Row],[Icone]],ICONES!A:A,1,FALSE),"ERREUR")="ERREUR","!","v")</f>
        <v>v</v>
      </c>
      <c r="E32" s="2"/>
    </row>
    <row r="33" spans="2:5" x14ac:dyDescent="0.25">
      <c r="B33" s="2" t="s">
        <v>157</v>
      </c>
      <c r="C33" t="s">
        <v>147</v>
      </c>
      <c r="D33" s="4" t="str">
        <f>IF(IFERROR(VLOOKUP(table_Elements6[[#This Row],[Icone]],ICONES!A:A,1,FALSE),"ERREUR")="ERREUR","!","v")</f>
        <v>v</v>
      </c>
      <c r="E33" s="2"/>
    </row>
    <row r="34" spans="2:5" x14ac:dyDescent="0.25">
      <c r="B34" s="2" t="s">
        <v>158</v>
      </c>
      <c r="C34" t="s">
        <v>147</v>
      </c>
      <c r="D34" s="4" t="str">
        <f>IF(IFERROR(VLOOKUP(table_Elements6[[#This Row],[Icone]],ICONES!A:A,1,FALSE),"ERREUR")="ERREUR","!","v")</f>
        <v>v</v>
      </c>
      <c r="E34" s="2"/>
    </row>
    <row r="35" spans="2:5" x14ac:dyDescent="0.25">
      <c r="B35" s="2" t="s">
        <v>159</v>
      </c>
      <c r="C35" t="s">
        <v>147</v>
      </c>
      <c r="D35" s="4" t="str">
        <f>IF(IFERROR(VLOOKUP(table_Elements6[[#This Row],[Icone]],ICONES!A:A,1,FALSE),"ERREUR")="ERREUR","!","v")</f>
        <v>v</v>
      </c>
      <c r="E35" s="2"/>
    </row>
    <row r="36" spans="2:5" x14ac:dyDescent="0.25">
      <c r="B36" s="2" t="s">
        <v>160</v>
      </c>
      <c r="C36" t="s">
        <v>147</v>
      </c>
      <c r="D36" s="4" t="str">
        <f>IF(IFERROR(VLOOKUP(table_Elements6[[#This Row],[Icone]],ICONES!A:A,1,FALSE),"ERREUR")="ERREUR","!","v")</f>
        <v>v</v>
      </c>
      <c r="E36" s="2"/>
    </row>
    <row r="37" spans="2:5" x14ac:dyDescent="0.25">
      <c r="B37" s="2" t="s">
        <v>161</v>
      </c>
      <c r="C37" t="s">
        <v>147</v>
      </c>
      <c r="D37" s="4" t="str">
        <f>IF(IFERROR(VLOOKUP(table_Elements6[[#This Row],[Icone]],ICONES!A:A,1,FALSE),"ERREUR")="ERREUR","!","v")</f>
        <v>v</v>
      </c>
      <c r="E37" s="2"/>
    </row>
    <row r="38" spans="2:5" x14ac:dyDescent="0.25">
      <c r="B38" s="2" t="s">
        <v>197</v>
      </c>
      <c r="C38" t="s">
        <v>148</v>
      </c>
      <c r="D38" s="4" t="str">
        <f>IF(IFERROR(VLOOKUP(table_Elements6[[#This Row],[Icone]],ICONES!A:A,1,FALSE),"ERREUR")="ERREUR","!","v")</f>
        <v>v</v>
      </c>
      <c r="E38" s="2"/>
    </row>
    <row r="39" spans="2:5" x14ac:dyDescent="0.25">
      <c r="B39" s="1" t="s">
        <v>188</v>
      </c>
      <c r="C39" t="s">
        <v>65</v>
      </c>
      <c r="D39" s="4" t="str">
        <f>IF(IFERROR(VLOOKUP(table_Elements6[[#This Row],[Icone]],ICONES!A:A,1,FALSE),"ERREUR")="ERREUR","!","v")</f>
        <v>v</v>
      </c>
      <c r="E39" s="2"/>
    </row>
    <row r="40" spans="2:5" x14ac:dyDescent="0.25">
      <c r="B40" s="2" t="s">
        <v>143</v>
      </c>
      <c r="C40" t="s">
        <v>146</v>
      </c>
      <c r="D40" s="4" t="str">
        <f>IF(IFERROR(VLOOKUP(table_Elements6[[#This Row],[Icone]],ICONES!A:A,1,FALSE),"ERREUR")="ERREUR","!","v")</f>
        <v>v</v>
      </c>
      <c r="E40" s="2"/>
    </row>
    <row r="41" spans="2:5" x14ac:dyDescent="0.25">
      <c r="B41" s="2" t="s">
        <v>144</v>
      </c>
      <c r="C41" t="s">
        <v>65</v>
      </c>
      <c r="D41" s="4" t="str">
        <f>IF(IFERROR(VLOOKUP(table_Elements6[[#This Row],[Icone]],ICONES!A:A,1,FALSE),"ERREUR")="ERREUR","!","v")</f>
        <v>v</v>
      </c>
      <c r="E41" s="2"/>
    </row>
    <row r="42" spans="2:5" x14ac:dyDescent="0.25">
      <c r="B42" s="5" t="s">
        <v>199</v>
      </c>
      <c r="C42" t="s">
        <v>148</v>
      </c>
      <c r="D42" s="4" t="str">
        <f>IF(IFERROR(VLOOKUP(table_Elements6[[#This Row],[Icone]],ICONES!A:A,1,FALSE),"ERREUR")="ERREUR","!","v")</f>
        <v>v</v>
      </c>
      <c r="E42" s="2"/>
    </row>
    <row r="43" spans="2:5" x14ac:dyDescent="0.25">
      <c r="B43" s="5" t="s">
        <v>200</v>
      </c>
      <c r="C43" t="s">
        <v>148</v>
      </c>
      <c r="D43" s="4" t="str">
        <f>IF(IFERROR(VLOOKUP(table_Elements6[[#This Row],[Icone]],ICONES!A:A,1,FALSE),"ERREUR")="ERREUR","!","v")</f>
        <v>v</v>
      </c>
      <c r="E43" s="2"/>
    </row>
    <row r="44" spans="2:5" x14ac:dyDescent="0.25">
      <c r="B44" s="5" t="s">
        <v>155</v>
      </c>
      <c r="C44" t="s">
        <v>148</v>
      </c>
      <c r="D44" s="4" t="str">
        <f>IF(IFERROR(VLOOKUP(table_Elements6[[#This Row],[Icone]],ICONES!A:A,1,FALSE),"ERREUR")="ERREUR","!","v")</f>
        <v>v</v>
      </c>
      <c r="E44" s="2"/>
    </row>
    <row r="45" spans="2:5" x14ac:dyDescent="0.25">
      <c r="B45" s="5" t="s">
        <v>201</v>
      </c>
      <c r="C45" t="s">
        <v>148</v>
      </c>
      <c r="D45" s="4" t="str">
        <f>IF(IFERROR(VLOOKUP(table_Elements6[[#This Row],[Icone]],ICONES!A:A,1,FALSE),"ERREUR")="ERREUR","!","v")</f>
        <v>v</v>
      </c>
      <c r="E45" s="2"/>
    </row>
    <row r="46" spans="2:5" x14ac:dyDescent="0.25">
      <c r="B46" s="2" t="s">
        <v>145</v>
      </c>
      <c r="C46" t="s">
        <v>146</v>
      </c>
      <c r="D46" s="4" t="str">
        <f>IF(IFERROR(VLOOKUP(table_Elements6[[#This Row],[Icone]],ICONES!A:A,1,FALSE),"ERREUR")="ERREUR","!","v")</f>
        <v>v</v>
      </c>
      <c r="E46" s="2"/>
    </row>
    <row r="47" spans="2:5" x14ac:dyDescent="0.25">
      <c r="B47" s="1" t="s">
        <v>142</v>
      </c>
      <c r="C47" t="s">
        <v>65</v>
      </c>
      <c r="D47" s="4" t="str">
        <f>IF(IFERROR(VLOOKUP(table_Elements6[[#This Row],[Icone]],ICONES!A:A,1,FALSE),"ERREUR")="ERREUR","!","v")</f>
        <v>v</v>
      </c>
      <c r="E47" s="2"/>
    </row>
    <row r="48" spans="2:5" x14ac:dyDescent="0.25">
      <c r="B48" s="2" t="s">
        <v>153</v>
      </c>
      <c r="C48" t="s">
        <v>148</v>
      </c>
      <c r="D48" s="4" t="str">
        <f>IF(IFERROR(VLOOKUP(table_Elements6[[#This Row],[Icone]],ICONES!A:A,1,FALSE),"ERREUR")="ERREUR","!","v")</f>
        <v>v</v>
      </c>
      <c r="E48" s="2"/>
    </row>
    <row r="49" spans="1:34" x14ac:dyDescent="0.25">
      <c r="B49" s="2" t="s">
        <v>166</v>
      </c>
      <c r="C49" t="s">
        <v>147</v>
      </c>
      <c r="D49" s="4" t="str">
        <f>IF(IFERROR(VLOOKUP(table_Elements6[[#This Row],[Icone]],ICONES!A:A,1,FALSE),"ERREUR")="ERREUR","!","v")</f>
        <v>v</v>
      </c>
      <c r="E49" s="2"/>
    </row>
    <row r="50" spans="1:34" x14ac:dyDescent="0.25">
      <c r="B50" s="2" t="s">
        <v>167</v>
      </c>
      <c r="C50" t="s">
        <v>147</v>
      </c>
      <c r="D50" s="4" t="str">
        <f>IF(IFERROR(VLOOKUP(table_Elements6[[#This Row],[Icone]],ICONES!A:A,1,FALSE),"ERREUR")="ERREUR","!","v")</f>
        <v>v</v>
      </c>
      <c r="E50" s="2"/>
    </row>
    <row r="51" spans="1:34" x14ac:dyDescent="0.25">
      <c r="B51" s="2" t="s">
        <v>168</v>
      </c>
      <c r="C51" t="s">
        <v>147</v>
      </c>
      <c r="D51" s="4" t="str">
        <f>IF(IFERROR(VLOOKUP(table_Elements6[[#This Row],[Icone]],ICONES!A:A,1,FALSE),"ERREUR")="ERREUR","!","v")</f>
        <v>v</v>
      </c>
      <c r="E51" s="2"/>
    </row>
    <row r="52" spans="1:34" x14ac:dyDescent="0.25">
      <c r="B52" s="2" t="s">
        <v>169</v>
      </c>
      <c r="C52" t="s">
        <v>148</v>
      </c>
      <c r="D52" s="4" t="str">
        <f>IF(IFERROR(VLOOKUP(table_Elements6[[#This Row],[Icone]],ICONES!A:A,1,FALSE),"ERREUR")="ERREUR","!","v")</f>
        <v>v</v>
      </c>
      <c r="E52" s="2"/>
    </row>
    <row r="53" spans="1:34" x14ac:dyDescent="0.25">
      <c r="B53" s="2" t="s">
        <v>198</v>
      </c>
      <c r="C53" t="s">
        <v>148</v>
      </c>
      <c r="D53" s="24" t="str">
        <f>IF(IFERROR(VLOOKUP(table_Elements6[[#This Row],[Icone]],ICONES!A:A,1,FALSE),"ERREUR")="ERREUR","!","v")</f>
        <v>v</v>
      </c>
      <c r="E53" s="2"/>
    </row>
    <row r="54" spans="1:34" x14ac:dyDescent="0.25">
      <c r="B54" s="1" t="s">
        <v>191</v>
      </c>
      <c r="C54" t="s">
        <v>65</v>
      </c>
      <c r="D54" s="4" t="str">
        <f>IF(IFERROR(VLOOKUP(table_Elements6[[#This Row],[Icone]],ICONES!A:A,1,FALSE),"ERREUR")="ERREUR","!","v")</f>
        <v>v</v>
      </c>
      <c r="E54" s="2"/>
    </row>
    <row r="55" spans="1:34" x14ac:dyDescent="0.25">
      <c r="B55" s="1" t="s">
        <v>192</v>
      </c>
      <c r="C55" t="s">
        <v>65</v>
      </c>
      <c r="D55" s="4" t="str">
        <f>IF(IFERROR(VLOOKUP(table_Elements6[[#This Row],[Icone]],ICONES!A:A,1,FALSE),"ERREUR")="ERREUR","!","v")</f>
        <v>v</v>
      </c>
      <c r="E55" s="2"/>
    </row>
    <row r="56" spans="1:34" x14ac:dyDescent="0.25">
      <c r="B56" s="1" t="s">
        <v>202</v>
      </c>
      <c r="C56" t="s">
        <v>65</v>
      </c>
      <c r="D56" s="24" t="str">
        <f>IF(IFERROR(VLOOKUP(table_Elements6[[#This Row],[Icone]],ICONES!A:A,1,FALSE),"ERREUR")="ERREUR","!","v")</f>
        <v>v</v>
      </c>
      <c r="E56" s="5"/>
    </row>
    <row r="57" spans="1:34" x14ac:dyDescent="0.25">
      <c r="B57" s="2"/>
      <c r="C57" s="3"/>
    </row>
    <row r="58" spans="1:34" s="7" customFormat="1" x14ac:dyDescent="0.25">
      <c r="A58" s="8" t="s">
        <v>27</v>
      </c>
      <c r="B58" s="7" t="s">
        <v>27</v>
      </c>
      <c r="C58" s="7" t="s">
        <v>25</v>
      </c>
      <c r="D58" s="7" t="s">
        <v>26</v>
      </c>
      <c r="E58" s="7" t="s">
        <v>96</v>
      </c>
      <c r="F58" s="18" t="s">
        <v>95</v>
      </c>
      <c r="G58" s="18" t="s">
        <v>103</v>
      </c>
      <c r="H58" s="18" t="s">
        <v>104</v>
      </c>
      <c r="I58" s="18" t="s">
        <v>105</v>
      </c>
      <c r="J58" s="18" t="s">
        <v>106</v>
      </c>
      <c r="K58" s="18" t="s">
        <v>107</v>
      </c>
      <c r="L58" s="18" t="s">
        <v>108</v>
      </c>
      <c r="M58" s="18" t="s">
        <v>109</v>
      </c>
      <c r="N58" s="18" t="s">
        <v>110</v>
      </c>
      <c r="O58" s="18" t="s">
        <v>111</v>
      </c>
      <c r="P58" s="18" t="s">
        <v>112</v>
      </c>
      <c r="Q58" s="18" t="s">
        <v>113</v>
      </c>
      <c r="R58" s="18" t="s">
        <v>114</v>
      </c>
      <c r="S58" s="18" t="s">
        <v>115</v>
      </c>
      <c r="T58" s="18" t="s">
        <v>116</v>
      </c>
      <c r="U58" s="18" t="s">
        <v>117</v>
      </c>
      <c r="V58" s="18" t="s">
        <v>118</v>
      </c>
      <c r="W58" s="18" t="s">
        <v>119</v>
      </c>
      <c r="X58" s="18" t="s">
        <v>120</v>
      </c>
      <c r="Y58" s="18" t="s">
        <v>121</v>
      </c>
      <c r="Z58" s="18" t="s">
        <v>122</v>
      </c>
      <c r="AA58" s="18" t="s">
        <v>123</v>
      </c>
      <c r="AB58" s="18" t="s">
        <v>124</v>
      </c>
      <c r="AC58" s="18" t="s">
        <v>125</v>
      </c>
      <c r="AD58" s="18" t="s">
        <v>126</v>
      </c>
      <c r="AE58" s="18" t="s">
        <v>127</v>
      </c>
      <c r="AF58" s="18" t="s">
        <v>128</v>
      </c>
      <c r="AG58" s="18" t="s">
        <v>129</v>
      </c>
      <c r="AH58" s="18" t="s">
        <v>130</v>
      </c>
    </row>
    <row r="59" spans="1:34" x14ac:dyDescent="0.25">
      <c r="B59" s="17" t="s">
        <v>151</v>
      </c>
      <c r="C59" t="s">
        <v>4</v>
      </c>
      <c r="E59" s="4"/>
      <c r="F59" t="s">
        <v>49</v>
      </c>
      <c r="G59" s="4" t="s">
        <v>50</v>
      </c>
    </row>
    <row r="60" spans="1:34" x14ac:dyDescent="0.25">
      <c r="B60" s="17" t="s">
        <v>149</v>
      </c>
      <c r="C60" t="s">
        <v>4</v>
      </c>
      <c r="D60" s="3"/>
      <c r="E60" s="4"/>
      <c r="F60"/>
    </row>
    <row r="61" spans="1:34" x14ac:dyDescent="0.25">
      <c r="B61" t="s">
        <v>178</v>
      </c>
      <c r="C61" t="s">
        <v>4</v>
      </c>
      <c r="D61" s="3"/>
      <c r="E61" s="4"/>
      <c r="F61"/>
    </row>
    <row r="62" spans="1:34" x14ac:dyDescent="0.25">
      <c r="B62" s="1" t="s">
        <v>179</v>
      </c>
      <c r="C62" t="s">
        <v>4</v>
      </c>
      <c r="D62" s="3"/>
      <c r="E62" s="4"/>
      <c r="F62" s="3"/>
    </row>
    <row r="63" spans="1:34" x14ac:dyDescent="0.25">
      <c r="B63" t="s">
        <v>150</v>
      </c>
      <c r="C63" t="s">
        <v>4</v>
      </c>
      <c r="D63" s="3"/>
      <c r="E63" s="4"/>
      <c r="F63"/>
    </row>
  </sheetData>
  <conditionalFormatting sqref="D4:D56">
    <cfRule type="cellIs" dxfId="1" priority="1" operator="equal">
      <formula>"v"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B6D694-98A5-481B-9536-963F6B8576F0}">
          <x14:formula1>
            <xm:f>ICONES!$A$2:$A21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AH63"/>
  <sheetViews>
    <sheetView topLeftCell="A16" workbookViewId="0">
      <selection activeCell="E14" sqref="E14"/>
    </sheetView>
  </sheetViews>
  <sheetFormatPr baseColWidth="10" defaultRowHeight="15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17.28515625" bestFit="1" customWidth="1"/>
    <col min="6" max="6" width="15.7109375" style="4" bestFit="1" customWidth="1"/>
    <col min="7" max="7" width="16.5703125" bestFit="1" customWidth="1"/>
    <col min="8" max="8" width="16.140625" bestFit="1" customWidth="1"/>
  </cols>
  <sheetData>
    <row r="1" spans="1:6" s="9" customFormat="1" ht="39" customHeight="1" x14ac:dyDescent="0.25">
      <c r="A1" s="11" t="s">
        <v>29</v>
      </c>
      <c r="F1" s="10"/>
    </row>
    <row r="3" spans="1:6" x14ac:dyDescent="0.25">
      <c r="A3" s="8" t="s">
        <v>53</v>
      </c>
      <c r="B3" s="7" t="s">
        <v>25</v>
      </c>
      <c r="C3" s="7" t="s">
        <v>28</v>
      </c>
      <c r="D3" s="21" t="s">
        <v>176</v>
      </c>
    </row>
    <row r="4" spans="1:6" x14ac:dyDescent="0.25">
      <c r="B4" s="3" t="s">
        <v>21</v>
      </c>
      <c r="C4" t="s">
        <v>65</v>
      </c>
      <c r="D4" s="4" t="str">
        <f>IF(IFERROR(VLOOKUP(table_Elements6[[#This Row],[Icone]],ICONES!A:A,1,FALSE),"ERREUR")="ERREUR","!","v")</f>
        <v>v</v>
      </c>
      <c r="E4" s="4"/>
    </row>
    <row r="5" spans="1:6" x14ac:dyDescent="0.25">
      <c r="B5" s="1" t="s">
        <v>4</v>
      </c>
      <c r="C5" t="s">
        <v>34</v>
      </c>
      <c r="D5" s="4" t="str">
        <f>IF(IFERROR(VLOOKUP(table_Elements6[[#This Row],[Icone]],ICONES!A:A,1,FALSE),"ERREUR")="ERREUR","!","v")</f>
        <v>v</v>
      </c>
      <c r="E5" s="1"/>
    </row>
    <row r="6" spans="1:6" x14ac:dyDescent="0.25">
      <c r="B6" s="3" t="s">
        <v>22</v>
      </c>
      <c r="C6" t="s">
        <v>65</v>
      </c>
      <c r="D6" s="4" t="str">
        <f>IF(IFERROR(VLOOKUP(table_Elements6[[#This Row],[Icone]],ICONES!A:A,1,FALSE),"ERREUR")="ERREUR","!","v")</f>
        <v>v</v>
      </c>
      <c r="E6" s="3"/>
    </row>
    <row r="7" spans="1:6" x14ac:dyDescent="0.25">
      <c r="B7" s="1" t="s">
        <v>18</v>
      </c>
      <c r="C7" t="s">
        <v>33</v>
      </c>
      <c r="D7" s="4" t="str">
        <f>IF(IFERROR(VLOOKUP(table_Elements6[[#This Row],[Icone]],ICONES!A:A,1,FALSE),"ERREUR")="ERREUR","!","v")</f>
        <v>v</v>
      </c>
      <c r="E7" s="1"/>
    </row>
    <row r="8" spans="1:6" x14ac:dyDescent="0.25">
      <c r="B8" s="2" t="s">
        <v>17</v>
      </c>
      <c r="C8" t="s">
        <v>32</v>
      </c>
      <c r="D8" s="4" t="str">
        <f>IF(IFERROR(VLOOKUP(table_Elements6[[#This Row],[Icone]],ICONES!A:A,1,FALSE),"ERREUR")="ERREUR","!","v")</f>
        <v>v</v>
      </c>
      <c r="E8" s="2"/>
    </row>
    <row r="9" spans="1:6" x14ac:dyDescent="0.25">
      <c r="B9" s="5" t="s">
        <v>1</v>
      </c>
      <c r="C9" t="s">
        <v>32</v>
      </c>
      <c r="D9" s="4" t="str">
        <f>IF(IFERROR(VLOOKUP(table_Elements6[[#This Row],[Icone]],ICONES!A:A,1,FALSE),"ERREUR")="ERREUR","!","v")</f>
        <v>v</v>
      </c>
      <c r="E9" s="5"/>
    </row>
    <row r="10" spans="1:6" x14ac:dyDescent="0.25">
      <c r="B10" s="5" t="s">
        <v>0</v>
      </c>
      <c r="C10" t="s">
        <v>32</v>
      </c>
      <c r="D10" s="4" t="str">
        <f>IF(IFERROR(VLOOKUP(table_Elements6[[#This Row],[Icone]],ICONES!A:A,1,FALSE),"ERREUR")="ERREUR","!","v")</f>
        <v>v</v>
      </c>
      <c r="E10" s="5"/>
    </row>
    <row r="11" spans="1:6" x14ac:dyDescent="0.25">
      <c r="B11" s="5" t="s">
        <v>9</v>
      </c>
      <c r="C11" t="s">
        <v>32</v>
      </c>
      <c r="D11" s="4" t="str">
        <f>IF(IFERROR(VLOOKUP(table_Elements6[[#This Row],[Icone]],ICONES!A:A,1,FALSE),"ERREUR")="ERREUR","!","v")</f>
        <v>v</v>
      </c>
      <c r="E11" s="5"/>
    </row>
    <row r="12" spans="1:6" x14ac:dyDescent="0.25">
      <c r="B12" s="1" t="s">
        <v>42</v>
      </c>
      <c r="C12" t="s">
        <v>33</v>
      </c>
      <c r="D12" s="4" t="str">
        <f>IF(IFERROR(VLOOKUP(table_Elements6[[#This Row],[Icone]],ICONES!A:A,1,FALSE),"ERREUR")="ERREUR","!","v")</f>
        <v>v</v>
      </c>
      <c r="E12" s="1"/>
    </row>
    <row r="13" spans="1:6" x14ac:dyDescent="0.25">
      <c r="B13" s="3" t="s">
        <v>23</v>
      </c>
      <c r="C13" t="s">
        <v>65</v>
      </c>
      <c r="D13" s="4" t="str">
        <f>IF(IFERROR(VLOOKUP(table_Elements6[[#This Row],[Icone]],ICONES!A:A,1,FALSE),"ERREUR")="ERREUR","!","v")</f>
        <v>v</v>
      </c>
      <c r="E13" s="3"/>
    </row>
    <row r="14" spans="1:6" x14ac:dyDescent="0.25">
      <c r="B14" s="1" t="s">
        <v>40</v>
      </c>
      <c r="C14" t="s">
        <v>65</v>
      </c>
      <c r="D14" s="4" t="str">
        <f>IF(IFERROR(VLOOKUP(table_Elements6[[#This Row],[Icone]],ICONES!A:A,1,FALSE),"ERREUR")="ERREUR","!","v")</f>
        <v>v</v>
      </c>
      <c r="E14" s="1"/>
    </row>
    <row r="15" spans="1:6" x14ac:dyDescent="0.25">
      <c r="B15" s="2" t="s">
        <v>43</v>
      </c>
      <c r="C15" t="s">
        <v>41</v>
      </c>
      <c r="D15" s="4" t="str">
        <f>IF(IFERROR(VLOOKUP(table_Elements6[[#This Row],[Icone]],ICONES!A:A,1,FALSE),"ERREUR")="ERREUR","!","v")</f>
        <v>v</v>
      </c>
      <c r="E15" s="2"/>
    </row>
    <row r="16" spans="1:6" x14ac:dyDescent="0.25">
      <c r="B16" s="2" t="s">
        <v>44</v>
      </c>
      <c r="C16" t="s">
        <v>41</v>
      </c>
      <c r="D16" s="4" t="str">
        <f>IF(IFERROR(VLOOKUP(table_Elements6[[#This Row],[Icone]],ICONES!A:A,1,FALSE),"ERREUR")="ERREUR","!","v")</f>
        <v>v</v>
      </c>
      <c r="E16" s="2"/>
    </row>
    <row r="17" spans="1:34" x14ac:dyDescent="0.25">
      <c r="B17" s="1" t="s">
        <v>10</v>
      </c>
      <c r="C17" t="s">
        <v>65</v>
      </c>
      <c r="D17" s="4" t="str">
        <f>IF(IFERROR(VLOOKUP(table_Elements6[[#This Row],[Icone]],ICONES!A:A,1,FALSE),"ERREUR")="ERREUR","!","v")</f>
        <v>v</v>
      </c>
      <c r="E17" s="1"/>
    </row>
    <row r="18" spans="1:34" x14ac:dyDescent="0.25">
      <c r="B18" s="2" t="s">
        <v>19</v>
      </c>
      <c r="C18" t="s">
        <v>62</v>
      </c>
      <c r="D18" s="4" t="str">
        <f>IF(IFERROR(VLOOKUP(table_Elements6[[#This Row],[Icone]],ICONES!A:A,1,FALSE),"ERREUR")="ERREUR","!","v")</f>
        <v>v</v>
      </c>
      <c r="E18" s="2"/>
    </row>
    <row r="19" spans="1:34" x14ac:dyDescent="0.25">
      <c r="B19" s="1" t="s">
        <v>24</v>
      </c>
      <c r="C19" t="s">
        <v>65</v>
      </c>
      <c r="D19" s="4" t="str">
        <f>IF(IFERROR(VLOOKUP(table_Elements6[[#This Row],[Icone]],ICONES!A:A,1,FALSE),"ERREUR")="ERREUR","!","v")</f>
        <v>v</v>
      </c>
      <c r="E19" s="1"/>
    </row>
    <row r="20" spans="1:34" x14ac:dyDescent="0.25">
      <c r="B20" s="2" t="s">
        <v>11</v>
      </c>
      <c r="C20" t="s">
        <v>102</v>
      </c>
      <c r="D20" s="4" t="str">
        <f>IF(IFERROR(VLOOKUP(table_Elements6[[#This Row],[Icone]],ICONES!A:A,1,FALSE),"ERREUR")="ERREUR","!","v")</f>
        <v>v</v>
      </c>
      <c r="E20" s="2"/>
    </row>
    <row r="21" spans="1:34" x14ac:dyDescent="0.25">
      <c r="B21" s="6" t="s">
        <v>12</v>
      </c>
      <c r="C21" t="s">
        <v>63</v>
      </c>
      <c r="D21" s="4" t="str">
        <f>IF(IFERROR(VLOOKUP(table_Elements6[[#This Row],[Icone]],ICONES!A:A,1,FALSE),"ERREUR")="ERREUR","!","v")</f>
        <v>v</v>
      </c>
      <c r="E21" s="6"/>
    </row>
    <row r="22" spans="1:34" x14ac:dyDescent="0.25">
      <c r="B22" s="1" t="s">
        <v>133</v>
      </c>
      <c r="C22" t="s">
        <v>65</v>
      </c>
      <c r="D22" s="4" t="str">
        <f>IF(IFERROR(VLOOKUP(table_Elements6[[#This Row],[Icone]],ICONES!A:A,1,FALSE),"ERREUR")="ERREUR","!","v")</f>
        <v>v</v>
      </c>
      <c r="E22" s="1"/>
    </row>
    <row r="23" spans="1:34" x14ac:dyDescent="0.25">
      <c r="B23" s="2" t="s">
        <v>13</v>
      </c>
      <c r="C23" t="s">
        <v>66</v>
      </c>
      <c r="D23" s="4" t="str">
        <f>IF(IFERROR(VLOOKUP(table_Elements6[[#This Row],[Icone]],ICONES!A:A,1,FALSE),"ERREUR")="ERREUR","!","v")</f>
        <v>v</v>
      </c>
      <c r="E23" s="2"/>
    </row>
    <row r="24" spans="1:34" x14ac:dyDescent="0.25">
      <c r="B24" s="3" t="s">
        <v>35</v>
      </c>
      <c r="C24" t="s">
        <v>65</v>
      </c>
      <c r="D24" s="4" t="str">
        <f>IF(IFERROR(VLOOKUP(table_Elements6[[#This Row],[Icone]],ICONES!A:A,1,FALSE),"ERREUR")="ERREUR","!","v")</f>
        <v>v</v>
      </c>
      <c r="E24" s="3"/>
    </row>
    <row r="25" spans="1:34" x14ac:dyDescent="0.25">
      <c r="B25" s="1" t="s">
        <v>36</v>
      </c>
      <c r="C25" t="s">
        <v>64</v>
      </c>
      <c r="D25" s="4" t="str">
        <f>IF(IFERROR(VLOOKUP(table_Elements6[[#This Row],[Icone]],ICONES!A:A,1,FALSE),"ERREUR")="ERREUR","!","v")</f>
        <v>v</v>
      </c>
      <c r="E25" s="1"/>
    </row>
    <row r="26" spans="1:34" x14ac:dyDescent="0.25">
      <c r="B26" s="2" t="s">
        <v>15</v>
      </c>
      <c r="C26" t="s">
        <v>65</v>
      </c>
      <c r="D26" s="4" t="str">
        <f>IF(IFERROR(VLOOKUP(table_Elements6[[#This Row],[Icone]],ICONES!A:A,1,FALSE),"ERREUR")="ERREUR","!","v")</f>
        <v>v</v>
      </c>
      <c r="E26" s="2"/>
    </row>
    <row r="27" spans="1:34" x14ac:dyDescent="0.25">
      <c r="B27" s="5" t="s">
        <v>14</v>
      </c>
      <c r="C27" t="s">
        <v>31</v>
      </c>
      <c r="D27" s="4" t="str">
        <f>IF(IFERROR(VLOOKUP(table_Elements6[[#This Row],[Icone]],ICONES!A:A,1,FALSE),"ERREUR")="ERREUR","!","v")</f>
        <v>v</v>
      </c>
      <c r="E27" s="5"/>
    </row>
    <row r="28" spans="1:34" x14ac:dyDescent="0.25">
      <c r="B28" s="5"/>
      <c r="E28" s="5"/>
    </row>
    <row r="29" spans="1:34" x14ac:dyDescent="0.25">
      <c r="B29" s="2"/>
      <c r="C29" s="3"/>
    </row>
    <row r="30" spans="1:34" s="7" customFormat="1" x14ac:dyDescent="0.25">
      <c r="A30" s="8" t="s">
        <v>27</v>
      </c>
      <c r="B30" s="7" t="s">
        <v>27</v>
      </c>
      <c r="C30" s="7" t="s">
        <v>25</v>
      </c>
      <c r="D30" s="7" t="s">
        <v>26</v>
      </c>
      <c r="E30" s="7" t="s">
        <v>96</v>
      </c>
      <c r="F30" s="18" t="s">
        <v>95</v>
      </c>
      <c r="G30" s="18" t="s">
        <v>103</v>
      </c>
      <c r="H30" s="18" t="s">
        <v>104</v>
      </c>
      <c r="I30" s="18" t="s">
        <v>105</v>
      </c>
      <c r="J30" s="18" t="s">
        <v>106</v>
      </c>
      <c r="K30" s="18" t="s">
        <v>107</v>
      </c>
      <c r="L30" s="18" t="s">
        <v>108</v>
      </c>
      <c r="M30" s="18" t="s">
        <v>109</v>
      </c>
      <c r="N30" s="18" t="s">
        <v>110</v>
      </c>
      <c r="O30" s="18" t="s">
        <v>111</v>
      </c>
      <c r="P30" s="18" t="s">
        <v>112</v>
      </c>
      <c r="Q30" s="18" t="s">
        <v>113</v>
      </c>
      <c r="R30" s="18" t="s">
        <v>114</v>
      </c>
      <c r="S30" s="18" t="s">
        <v>115</v>
      </c>
      <c r="T30" s="18" t="s">
        <v>116</v>
      </c>
      <c r="U30" s="18" t="s">
        <v>117</v>
      </c>
      <c r="V30" s="18" t="s">
        <v>118</v>
      </c>
      <c r="W30" s="18" t="s">
        <v>119</v>
      </c>
      <c r="X30" s="18" t="s">
        <v>120</v>
      </c>
      <c r="Y30" s="18" t="s">
        <v>121</v>
      </c>
      <c r="Z30" s="18" t="s">
        <v>122</v>
      </c>
      <c r="AA30" s="18" t="s">
        <v>123</v>
      </c>
      <c r="AB30" s="18" t="s">
        <v>124</v>
      </c>
      <c r="AC30" s="18" t="s">
        <v>125</v>
      </c>
      <c r="AD30" s="18" t="s">
        <v>126</v>
      </c>
      <c r="AE30" s="18" t="s">
        <v>127</v>
      </c>
      <c r="AF30" s="18" t="s">
        <v>128</v>
      </c>
      <c r="AG30" s="18" t="s">
        <v>129</v>
      </c>
      <c r="AH30" s="18" t="s">
        <v>130</v>
      </c>
    </row>
    <row r="31" spans="1:34" x14ac:dyDescent="0.25">
      <c r="B31" s="17" t="s">
        <v>30</v>
      </c>
      <c r="C31" t="s">
        <v>4</v>
      </c>
      <c r="E31" s="4"/>
      <c r="F31" t="s">
        <v>49</v>
      </c>
      <c r="G31" s="4" t="s">
        <v>50</v>
      </c>
    </row>
    <row r="32" spans="1:34" x14ac:dyDescent="0.25">
      <c r="E32" s="4"/>
      <c r="F32" t="s">
        <v>5</v>
      </c>
      <c r="G32" s="4">
        <v>1234</v>
      </c>
    </row>
    <row r="33" spans="3:8" x14ac:dyDescent="0.25">
      <c r="C33" t="s">
        <v>4</v>
      </c>
      <c r="D33" t="s">
        <v>1</v>
      </c>
      <c r="E33" s="4"/>
      <c r="F33" t="s">
        <v>49</v>
      </c>
      <c r="G33" s="4" t="s">
        <v>50</v>
      </c>
    </row>
    <row r="34" spans="3:8" x14ac:dyDescent="0.25">
      <c r="C34" t="s">
        <v>4</v>
      </c>
      <c r="D34" t="s">
        <v>0</v>
      </c>
      <c r="E34" s="4"/>
      <c r="F34" t="s">
        <v>5</v>
      </c>
      <c r="G34" s="4">
        <v>1234</v>
      </c>
    </row>
    <row r="35" spans="3:8" x14ac:dyDescent="0.25">
      <c r="C35" t="s">
        <v>4</v>
      </c>
      <c r="D35" t="s">
        <v>9</v>
      </c>
      <c r="E35" s="4"/>
      <c r="F35" t="s">
        <v>69</v>
      </c>
      <c r="G35" s="4" t="s">
        <v>70</v>
      </c>
    </row>
    <row r="36" spans="3:8" x14ac:dyDescent="0.25">
      <c r="C36" t="s">
        <v>9</v>
      </c>
      <c r="D36" s="3" t="s">
        <v>19</v>
      </c>
      <c r="E36" s="4"/>
      <c r="F36" t="s">
        <v>69</v>
      </c>
      <c r="G36" s="4" t="s">
        <v>70</v>
      </c>
    </row>
    <row r="37" spans="3:8" x14ac:dyDescent="0.25">
      <c r="C37" s="3" t="s">
        <v>19</v>
      </c>
      <c r="D37" s="3" t="s">
        <v>12</v>
      </c>
      <c r="E37" s="4"/>
      <c r="F37" t="s">
        <v>49</v>
      </c>
      <c r="G37" s="4" t="s">
        <v>50</v>
      </c>
    </row>
    <row r="38" spans="3:8" x14ac:dyDescent="0.25">
      <c r="C38" s="3"/>
      <c r="D38" s="3"/>
      <c r="E38" s="4"/>
      <c r="F38" t="s">
        <v>5</v>
      </c>
      <c r="G38" s="4">
        <v>1234</v>
      </c>
    </row>
    <row r="39" spans="3:8" x14ac:dyDescent="0.25">
      <c r="C39" s="3" t="s">
        <v>12</v>
      </c>
      <c r="D39" s="3"/>
      <c r="E39" s="4" t="s">
        <v>55</v>
      </c>
      <c r="F39" t="s">
        <v>6</v>
      </c>
      <c r="G39" s="4" t="s">
        <v>20</v>
      </c>
    </row>
    <row r="40" spans="3:8" x14ac:dyDescent="0.25">
      <c r="C40" s="3"/>
      <c r="D40" s="3"/>
      <c r="E40" s="4" t="s">
        <v>55</v>
      </c>
      <c r="F40" t="s">
        <v>37</v>
      </c>
      <c r="G40" s="4" t="s">
        <v>39</v>
      </c>
    </row>
    <row r="41" spans="3:8" x14ac:dyDescent="0.25">
      <c r="C41" s="3" t="s">
        <v>12</v>
      </c>
      <c r="D41" s="3" t="s">
        <v>13</v>
      </c>
      <c r="E41" s="4"/>
      <c r="F41" t="s">
        <v>69</v>
      </c>
      <c r="G41" s="4" t="s">
        <v>70</v>
      </c>
    </row>
    <row r="42" spans="3:8" x14ac:dyDescent="0.25">
      <c r="C42" s="3" t="s">
        <v>13</v>
      </c>
      <c r="D42" s="3" t="s">
        <v>36</v>
      </c>
      <c r="E42" s="4" t="s">
        <v>55</v>
      </c>
      <c r="F42" s="3" t="s">
        <v>38</v>
      </c>
      <c r="G42" s="4" t="s">
        <v>16</v>
      </c>
    </row>
    <row r="43" spans="3:8" x14ac:dyDescent="0.25">
      <c r="C43" s="3" t="s">
        <v>36</v>
      </c>
      <c r="D43" s="3" t="s">
        <v>14</v>
      </c>
      <c r="E43" s="4"/>
      <c r="F43" s="3" t="s">
        <v>48</v>
      </c>
      <c r="G43" t="s">
        <v>2</v>
      </c>
    </row>
    <row r="44" spans="3:8" x14ac:dyDescent="0.25">
      <c r="C44" s="3"/>
      <c r="D44" s="3"/>
      <c r="E44" s="4"/>
      <c r="F44" t="s">
        <v>6</v>
      </c>
      <c r="G44" s="4" t="s">
        <v>20</v>
      </c>
    </row>
    <row r="45" spans="3:8" x14ac:dyDescent="0.25">
      <c r="C45" s="3" t="s">
        <v>14</v>
      </c>
      <c r="D45" s="3"/>
      <c r="E45" s="4" t="s">
        <v>54</v>
      </c>
      <c r="F45" t="s">
        <v>49</v>
      </c>
      <c r="G45" s="4" t="s">
        <v>6</v>
      </c>
      <c r="H45" t="s">
        <v>58</v>
      </c>
    </row>
    <row r="46" spans="3:8" x14ac:dyDescent="0.25">
      <c r="E46" s="4"/>
      <c r="F46" t="s">
        <v>59</v>
      </c>
      <c r="G46" s="4" t="s">
        <v>8</v>
      </c>
      <c r="H46" t="s">
        <v>61</v>
      </c>
    </row>
    <row r="47" spans="3:8" x14ac:dyDescent="0.25">
      <c r="E47" s="4"/>
      <c r="F47" t="s">
        <v>60</v>
      </c>
      <c r="G47" s="4" t="s">
        <v>7</v>
      </c>
      <c r="H47" t="s">
        <v>3</v>
      </c>
    </row>
    <row r="48" spans="3:8" x14ac:dyDescent="0.25">
      <c r="C48" s="3"/>
      <c r="E48" s="4" t="s">
        <v>56</v>
      </c>
      <c r="F48" s="3" t="s">
        <v>50</v>
      </c>
      <c r="G48" s="4" t="s">
        <v>20</v>
      </c>
      <c r="H48" t="s">
        <v>2</v>
      </c>
    </row>
    <row r="49" spans="2:7" x14ac:dyDescent="0.25">
      <c r="C49" s="3" t="s">
        <v>36</v>
      </c>
      <c r="D49" s="3" t="s">
        <v>13</v>
      </c>
      <c r="E49" s="4"/>
      <c r="F49" s="3" t="s">
        <v>48</v>
      </c>
      <c r="G49" t="s">
        <v>2</v>
      </c>
    </row>
    <row r="50" spans="2:7" x14ac:dyDescent="0.25">
      <c r="C50" s="3" t="s">
        <v>13</v>
      </c>
      <c r="D50" s="3" t="s">
        <v>12</v>
      </c>
      <c r="E50" s="4"/>
      <c r="F50" s="3" t="s">
        <v>48</v>
      </c>
      <c r="G50" t="s">
        <v>2</v>
      </c>
    </row>
    <row r="51" spans="2:7" x14ac:dyDescent="0.25">
      <c r="C51" s="3" t="s">
        <v>12</v>
      </c>
      <c r="D51" s="3" t="s">
        <v>19</v>
      </c>
      <c r="E51" s="4"/>
      <c r="F51" s="3" t="s">
        <v>45</v>
      </c>
      <c r="G51" t="s">
        <v>46</v>
      </c>
    </row>
    <row r="52" spans="2:7" x14ac:dyDescent="0.25">
      <c r="C52" s="3" t="s">
        <v>19</v>
      </c>
      <c r="D52" s="3" t="s">
        <v>44</v>
      </c>
      <c r="E52" s="4"/>
      <c r="F52" s="3"/>
    </row>
    <row r="53" spans="2:7" x14ac:dyDescent="0.25">
      <c r="C53" s="3" t="s">
        <v>44</v>
      </c>
      <c r="D53" s="3" t="s">
        <v>42</v>
      </c>
      <c r="E53" s="4"/>
      <c r="F53" s="3" t="s">
        <v>47</v>
      </c>
      <c r="G53" s="3" t="s">
        <v>67</v>
      </c>
    </row>
    <row r="54" spans="2:7" x14ac:dyDescent="0.25">
      <c r="B54" s="20" t="s">
        <v>51</v>
      </c>
      <c r="C54" s="3" t="s">
        <v>36</v>
      </c>
      <c r="D54" s="3" t="s">
        <v>14</v>
      </c>
      <c r="E54" s="4" t="s">
        <v>56</v>
      </c>
      <c r="F54" s="3" t="s">
        <v>48</v>
      </c>
      <c r="G54" s="12" t="s">
        <v>68</v>
      </c>
    </row>
    <row r="55" spans="2:7" x14ac:dyDescent="0.25">
      <c r="E55" s="4" t="s">
        <v>56</v>
      </c>
      <c r="F55" t="s">
        <v>6</v>
      </c>
      <c r="G55" s="4" t="s">
        <v>20</v>
      </c>
    </row>
    <row r="56" spans="2:7" x14ac:dyDescent="0.25">
      <c r="E56" s="4" t="s">
        <v>54</v>
      </c>
      <c r="F56" t="s">
        <v>49</v>
      </c>
      <c r="G56" s="4" t="s">
        <v>6</v>
      </c>
    </row>
    <row r="57" spans="2:7" x14ac:dyDescent="0.25">
      <c r="E57" s="4"/>
      <c r="F57" t="s">
        <v>3</v>
      </c>
      <c r="G57" s="4" t="s">
        <v>8</v>
      </c>
    </row>
    <row r="58" spans="2:7" x14ac:dyDescent="0.25">
      <c r="E58" s="4"/>
      <c r="F58" t="s">
        <v>2</v>
      </c>
      <c r="G58" s="4" t="s">
        <v>7</v>
      </c>
    </row>
    <row r="59" spans="2:7" x14ac:dyDescent="0.25">
      <c r="C59" s="3"/>
      <c r="E59" s="4"/>
      <c r="F59" s="3" t="s">
        <v>50</v>
      </c>
      <c r="G59" s="4" t="s">
        <v>52</v>
      </c>
    </row>
    <row r="60" spans="2:7" x14ac:dyDescent="0.25">
      <c r="C60" s="3" t="s">
        <v>36</v>
      </c>
      <c r="D60" s="3" t="s">
        <v>13</v>
      </c>
      <c r="E60" s="4" t="s">
        <v>55</v>
      </c>
      <c r="F60" s="3" t="s">
        <v>48</v>
      </c>
    </row>
    <row r="61" spans="2:7" x14ac:dyDescent="0.25">
      <c r="C61" s="3" t="s">
        <v>13</v>
      </c>
      <c r="D61" s="3" t="s">
        <v>12</v>
      </c>
      <c r="E61" s="4" t="s">
        <v>55</v>
      </c>
      <c r="F61" s="3" t="s">
        <v>48</v>
      </c>
      <c r="G61" s="12" t="s">
        <v>68</v>
      </c>
    </row>
    <row r="62" spans="2:7" x14ac:dyDescent="0.25">
      <c r="C62" s="3" t="s">
        <v>19</v>
      </c>
      <c r="D62" s="3" t="s">
        <v>44</v>
      </c>
      <c r="E62" s="4"/>
      <c r="F62" s="3" t="s">
        <v>45</v>
      </c>
      <c r="G62" t="s">
        <v>131</v>
      </c>
    </row>
    <row r="63" spans="2:7" x14ac:dyDescent="0.25">
      <c r="C63" s="3" t="s">
        <v>44</v>
      </c>
      <c r="D63" s="3" t="s">
        <v>42</v>
      </c>
      <c r="E63" s="4"/>
      <c r="F63" s="3" t="s">
        <v>47</v>
      </c>
      <c r="G63" s="3" t="s">
        <v>67</v>
      </c>
    </row>
  </sheetData>
  <conditionalFormatting sqref="D4:D27 E4">
    <cfRule type="cellIs" dxfId="0" priority="1" operator="equal">
      <formula>"v"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4F4AEE-095E-48AD-95BC-B78805250969}">
          <x14:formula1>
            <xm:f>ICONES!$A$2:$A12</xm:f>
          </x14:formula1>
          <xm:sqref>C4:C28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32E6D-0201-4237-B964-EA14D01AC44C}">
  <sheetPr codeName="Feuil4"/>
  <dimension ref="A1:C24"/>
  <sheetViews>
    <sheetView workbookViewId="0">
      <selection activeCell="B8" sqref="B8"/>
    </sheetView>
  </sheetViews>
  <sheetFormatPr baseColWidth="10" defaultRowHeight="15" x14ac:dyDescent="0.25"/>
  <cols>
    <col min="1" max="1" width="19.28515625" bestFit="1" customWidth="1"/>
    <col min="2" max="2" width="20.7109375" bestFit="1" customWidth="1"/>
    <col min="3" max="3" width="63.28515625" bestFit="1" customWidth="1"/>
  </cols>
  <sheetData>
    <row r="1" spans="1:3" x14ac:dyDescent="0.25">
      <c r="A1" t="s">
        <v>132</v>
      </c>
      <c r="B1" t="s">
        <v>193</v>
      </c>
      <c r="C1" t="s">
        <v>177</v>
      </c>
    </row>
    <row r="2" spans="1:3" x14ac:dyDescent="0.25">
      <c r="A2" s="19" t="s">
        <v>66</v>
      </c>
      <c r="B2" s="26" t="s">
        <v>194</v>
      </c>
      <c r="C2" s="23" t="str">
        <f>"{id: """&amp;table_Icone[[#This Row],[Icones]]&amp;""", src:""./images/"&amp;table_Icone[[#This Row],[Icones]]&amp;".png""},"</f>
        <v>{id: "blackbox", src:"./images/blackbox.png"},</v>
      </c>
    </row>
    <row r="3" spans="1:3" x14ac:dyDescent="0.25">
      <c r="A3" s="19" t="s">
        <v>62</v>
      </c>
      <c r="B3" s="26" t="s">
        <v>195</v>
      </c>
      <c r="C3" s="19" t="str">
        <f>"{id: """&amp;table_Icone[[#This Row],[Icones]]&amp;""", src:""./images/"&amp;table_Icone[[#This Row],[Icones]]&amp;".png""},"</f>
        <v>{id: "csharp_class", src:"./images/csharp_class.png"},</v>
      </c>
    </row>
    <row r="4" spans="1:3" x14ac:dyDescent="0.25">
      <c r="A4" s="19" t="s">
        <v>63</v>
      </c>
      <c r="B4" s="26" t="s">
        <v>196</v>
      </c>
      <c r="C4" s="19" t="str">
        <f>"{id: """&amp;table_Icone[[#This Row],[Icones]]&amp;""", src:""./images/"&amp;table_Icone[[#This Row],[Icones]]&amp;".png""},"</f>
        <v>{id: "csharp_method", src:"./images/csharp_method.png"},</v>
      </c>
    </row>
    <row r="5" spans="1:3" x14ac:dyDescent="0.25">
      <c r="A5" s="19" t="s">
        <v>102</v>
      </c>
      <c r="B5" s="26" t="s">
        <v>196</v>
      </c>
      <c r="C5" s="19" t="str">
        <f>"{id: """&amp;table_Icone[[#This Row],[Icones]]&amp;""", src:""./images/"&amp;table_Icone[[#This Row],[Icones]]&amp;".png""},"</f>
        <v>{id: "csharp_staticclass", src:"./images/csharp_staticclass.png"},</v>
      </c>
    </row>
    <row r="6" spans="1:3" x14ac:dyDescent="0.25">
      <c r="A6" s="19" t="s">
        <v>41</v>
      </c>
      <c r="B6" s="26" t="s">
        <v>196</v>
      </c>
      <c r="C6" s="19" t="str">
        <f>"{id: """&amp;table_Icone[[#This Row],[Icones]]&amp;""", src:""./images/"&amp;table_Icone[[#This Row],[Icones]]&amp;".png""},"</f>
        <v>{id: "dotnetmvc_view", src:"./images/dotnetmvc_view.png"},</v>
      </c>
    </row>
    <row r="7" spans="1:3" x14ac:dyDescent="0.25">
      <c r="A7" s="19" t="s">
        <v>137</v>
      </c>
      <c r="B7" s="26" t="s">
        <v>195</v>
      </c>
      <c r="C7" s="19" t="str">
        <f>"{id: """&amp;table_Icone[[#This Row],[Icones]]&amp;""", src:""./images/"&amp;table_Icone[[#This Row],[Icones]]&amp;".png""},"</f>
        <v>{id: "excel_file", src:"./images/excel_file.png"},</v>
      </c>
    </row>
    <row r="8" spans="1:3" x14ac:dyDescent="0.25">
      <c r="A8" s="19" t="s">
        <v>136</v>
      </c>
      <c r="B8" s="26"/>
      <c r="C8" s="19" t="str">
        <f>"{id: """&amp;table_Icone[[#This Row],[Icones]]&amp;""", src:""./images/"&amp;table_Icone[[#This Row],[Icones]]&amp;".png""},"</f>
        <v>{id: "excel_sheet", src:"./images/excel_sheet.png"},</v>
      </c>
    </row>
    <row r="9" spans="1:3" x14ac:dyDescent="0.25">
      <c r="A9" s="19" t="s">
        <v>138</v>
      </c>
      <c r="B9" s="26"/>
      <c r="C9" s="19" t="str">
        <f>"{id: """&amp;table_Icone[[#This Row],[Icones]]&amp;""", src:""./images/"&amp;table_Icone[[#This Row],[Icones]]&amp;".png""},"</f>
        <v>{id: "excel_table", src:"./images/excel_table.png"},</v>
      </c>
    </row>
    <row r="10" spans="1:3" x14ac:dyDescent="0.25">
      <c r="A10" s="19" t="s">
        <v>32</v>
      </c>
      <c r="B10" s="26"/>
      <c r="C10" s="19" t="str">
        <f>"{id: """&amp;table_Icone[[#This Row],[Icones]]&amp;""", src:""./images/"&amp;table_Icone[[#This Row],[Icones]]&amp;".png""},"</f>
        <v>{id: "html_dom", src:"./images/html_dom.png"},</v>
      </c>
    </row>
    <row r="11" spans="1:3" x14ac:dyDescent="0.25">
      <c r="A11" s="19" t="s">
        <v>33</v>
      </c>
      <c r="B11" s="26"/>
      <c r="C11" s="19" t="str">
        <f>"{id: """&amp;table_Icone[[#This Row],[Icones]]&amp;""", src:""./images/"&amp;table_Icone[[#This Row],[Icones]]&amp;".png""},"</f>
        <v>{id: "html_page", src:"./images/html_page.png"},</v>
      </c>
    </row>
    <row r="12" spans="1:3" x14ac:dyDescent="0.25">
      <c r="A12" s="19" t="s">
        <v>148</v>
      </c>
      <c r="B12" s="26"/>
      <c r="C12" s="19" t="str">
        <f>"{id: """&amp;table_Icone[[#This Row],[Icones]]&amp;""", src:""./images/"&amp;table_Icone[[#This Row],[Icones]]&amp;".png""},"</f>
        <v>{id: "js_file", src:"./images/js_file.png"},</v>
      </c>
    </row>
    <row r="13" spans="1:3" x14ac:dyDescent="0.25">
      <c r="A13" s="19" t="s">
        <v>146</v>
      </c>
      <c r="B13" s="26"/>
      <c r="C13" s="19" t="str">
        <f>"{id: """&amp;table_Icone[[#This Row],[Icones]]&amp;""", src:""./images/"&amp;table_Icone[[#This Row],[Icones]]&amp;".png""},"</f>
        <v>{id: "js_function", src:"./images/js_function.png"},</v>
      </c>
    </row>
    <row r="14" spans="1:3" x14ac:dyDescent="0.25">
      <c r="A14" s="19" t="s">
        <v>147</v>
      </c>
      <c r="B14" s="26"/>
      <c r="C14" s="19" t="str">
        <f>"{id: """&amp;table_Icone[[#This Row],[Icones]]&amp;""", src:""./images/"&amp;table_Icone[[#This Row],[Icones]]&amp;".png""},"</f>
        <v>{id: "js_object", src:"./images/js_object.png"},</v>
      </c>
    </row>
    <row r="15" spans="1:3" x14ac:dyDescent="0.25">
      <c r="A15" s="19" t="s">
        <v>140</v>
      </c>
      <c r="B15" s="26"/>
      <c r="C15" s="19" t="str">
        <f>"{id: """&amp;table_Icone[[#This Row],[Icones]]&amp;""", src:""./images/"&amp;table_Icone[[#This Row],[Icones]]&amp;".png""},"</f>
        <v>{id: "json_file", src:"./images/json_file.png"},</v>
      </c>
    </row>
    <row r="16" spans="1:3" x14ac:dyDescent="0.25">
      <c r="A16" s="22" t="s">
        <v>34</v>
      </c>
      <c r="B16" s="26"/>
      <c r="C16" s="19" t="str">
        <f>"{id: """&amp;table_Icone[[#This Row],[Icones]]&amp;""", src:""./images/"&amp;table_Icone[[#This Row],[Icones]]&amp;".png""},"</f>
        <v>{id: "life_user", src:"./images/life_user.png"},</v>
      </c>
    </row>
    <row r="17" spans="1:3" x14ac:dyDescent="0.25">
      <c r="A17" s="19" t="s">
        <v>64</v>
      </c>
      <c r="B17" s="26"/>
      <c r="C17" s="19" t="str">
        <f>"{id: """&amp;table_Icone[[#This Row],[Icones]]&amp;""", src:""./images/"&amp;table_Icone[[#This Row],[Icones]]&amp;".png""},"</f>
        <v>{id: "mssql_db", src:"./images/mssql_db.png"},</v>
      </c>
    </row>
    <row r="18" spans="1:3" x14ac:dyDescent="0.25">
      <c r="A18" s="19" t="s">
        <v>31</v>
      </c>
      <c r="B18" s="26"/>
      <c r="C18" s="19" t="str">
        <f>"{id: """&amp;table_Icone[[#This Row],[Icones]]&amp;""", src:""./images/"&amp;table_Icone[[#This Row],[Icones]]&amp;".png""},"</f>
        <v>{id: "mssql_table", src:"./images/mssql_table.png"},</v>
      </c>
    </row>
    <row r="19" spans="1:3" x14ac:dyDescent="0.25">
      <c r="A19" s="19" t="s">
        <v>65</v>
      </c>
      <c r="B19" s="26"/>
      <c r="C19" s="19" t="str">
        <f>"{id: """&amp;table_Icone[[#This Row],[Icones]]&amp;""", src:""./images/"&amp;table_Icone[[#This Row],[Icones]]&amp;".png""},"</f>
        <v>{id: "system_folder", src:"./images/system_folder.png"},</v>
      </c>
    </row>
    <row r="20" spans="1:3" x14ac:dyDescent="0.25">
      <c r="A20" s="19" t="s">
        <v>174</v>
      </c>
      <c r="B20" s="26"/>
      <c r="C20" s="19" t="str">
        <f>"{id: """&amp;table_Icone[[#This Row],[Icones]]&amp;""", src:""./images/"&amp;table_Icone[[#This Row],[Icones]]&amp;".png""},"</f>
        <v>{id: "vba_function", src:"./images/vba_function.png"},</v>
      </c>
    </row>
    <row r="21" spans="1:3" x14ac:dyDescent="0.25">
      <c r="A21" s="22" t="s">
        <v>173</v>
      </c>
      <c r="B21" s="26"/>
      <c r="C21" s="19" t="str">
        <f>"{id: """&amp;table_Icone[[#This Row],[Icones]]&amp;""", src:""./images/"&amp;table_Icone[[#This Row],[Icones]]&amp;".png""},"</f>
        <v>{id: "vba_module", src:"./images/vba_module.png"},</v>
      </c>
    </row>
    <row r="22" spans="1:3" x14ac:dyDescent="0.25">
      <c r="A22" s="22" t="s">
        <v>175</v>
      </c>
      <c r="B22" s="26"/>
      <c r="C22" s="22" t="str">
        <f>"{id: """&amp;table_Icone[[#This Row],[Icones]]&amp;""", src:""./images/"&amp;table_Icone[[#This Row],[Icones]]&amp;".png""},"</f>
        <v>{id: "vba_sheet", src:"./images/vba_sheet.png"},</v>
      </c>
    </row>
    <row r="23" spans="1:3" x14ac:dyDescent="0.25">
      <c r="A23" s="22" t="s">
        <v>184</v>
      </c>
      <c r="B23" s="26"/>
      <c r="C23" s="25" t="str">
        <f>"{id: """&amp;table_Icone[[#This Row],[Icones]]&amp;""", src:""./images/"&amp;table_Icone[[#This Row],[Icones]]&amp;".png""},"</f>
        <v>{id: "application_browser", src:"./images/application_browser.png"},</v>
      </c>
    </row>
    <row r="24" spans="1:3" x14ac:dyDescent="0.25">
      <c r="A24" s="22" t="s">
        <v>189</v>
      </c>
      <c r="B24" s="26"/>
      <c r="C24" s="25" t="str">
        <f>"{id: """&amp;table_Icone[[#This Row],[Icones]]&amp;""", src:""./images/"&amp;table_Icone[[#This Row],[Icones]]&amp;".png""},"</f>
        <v>{id: "abstract_folder", src:"./images/abstract_folder.png"},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40F69-CC2F-4880-AAD2-9FA529C6F328}">
  <sheetPr codeName="Feuil2"/>
  <dimension ref="A2:F29"/>
  <sheetViews>
    <sheetView workbookViewId="0">
      <selection activeCell="B32" sqref="B32"/>
    </sheetView>
  </sheetViews>
  <sheetFormatPr baseColWidth="10" defaultRowHeight="15" x14ac:dyDescent="0.25"/>
  <cols>
    <col min="2" max="2" width="10.7109375" bestFit="1" customWidth="1"/>
    <col min="3" max="3" width="14" bestFit="1" customWidth="1"/>
  </cols>
  <sheetData>
    <row r="2" spans="1:6" ht="15.75" thickBot="1" x14ac:dyDescent="0.3">
      <c r="A2" s="15" t="s">
        <v>85</v>
      </c>
    </row>
    <row r="4" spans="1:6" x14ac:dyDescent="0.25">
      <c r="A4" s="7" t="s">
        <v>57</v>
      </c>
      <c r="B4" s="7"/>
      <c r="C4" s="7"/>
    </row>
    <row r="5" spans="1:6" x14ac:dyDescent="0.25">
      <c r="A5" s="4"/>
      <c r="B5" s="13" t="s">
        <v>73</v>
      </c>
      <c r="C5" s="4" t="s">
        <v>75</v>
      </c>
      <c r="F5" t="s">
        <v>98</v>
      </c>
    </row>
    <row r="6" spans="1:6" x14ac:dyDescent="0.25">
      <c r="A6" s="4"/>
      <c r="B6" s="13" t="s">
        <v>74</v>
      </c>
      <c r="C6" s="4" t="s">
        <v>76</v>
      </c>
    </row>
    <row r="7" spans="1:6" x14ac:dyDescent="0.25">
      <c r="A7" s="4" t="s">
        <v>54</v>
      </c>
      <c r="B7" s="14" t="s">
        <v>72</v>
      </c>
      <c r="C7" s="14" t="s">
        <v>77</v>
      </c>
      <c r="D7" s="14" t="s">
        <v>78</v>
      </c>
      <c r="F7" s="17" t="s">
        <v>100</v>
      </c>
    </row>
    <row r="8" spans="1:6" x14ac:dyDescent="0.25">
      <c r="B8" t="s">
        <v>79</v>
      </c>
      <c r="C8" t="s">
        <v>80</v>
      </c>
      <c r="D8" t="s">
        <v>81</v>
      </c>
    </row>
    <row r="9" spans="1:6" x14ac:dyDescent="0.25">
      <c r="B9" t="s">
        <v>82</v>
      </c>
      <c r="C9" t="s">
        <v>83</v>
      </c>
      <c r="D9" t="s">
        <v>84</v>
      </c>
    </row>
    <row r="11" spans="1:6" ht="15.75" thickBot="1" x14ac:dyDescent="0.3">
      <c r="A11" s="15" t="s">
        <v>86</v>
      </c>
    </row>
    <row r="13" spans="1:6" x14ac:dyDescent="0.25">
      <c r="A13" s="7" t="s">
        <v>57</v>
      </c>
      <c r="B13" s="7"/>
      <c r="C13" s="7"/>
    </row>
    <row r="14" spans="1:6" x14ac:dyDescent="0.25">
      <c r="A14" s="16" t="s">
        <v>55</v>
      </c>
      <c r="B14" t="s">
        <v>73</v>
      </c>
      <c r="C14" s="4" t="s">
        <v>99</v>
      </c>
    </row>
    <row r="15" spans="1:6" x14ac:dyDescent="0.25">
      <c r="A15" s="16" t="s">
        <v>56</v>
      </c>
      <c r="B15" t="s">
        <v>74</v>
      </c>
      <c r="C15" s="4" t="s">
        <v>76</v>
      </c>
    </row>
    <row r="16" spans="1:6" x14ac:dyDescent="0.25">
      <c r="A16" s="16" t="s">
        <v>93</v>
      </c>
      <c r="B16" t="s">
        <v>89</v>
      </c>
      <c r="C16" s="4" t="s">
        <v>91</v>
      </c>
    </row>
    <row r="17" spans="1:6" x14ac:dyDescent="0.25">
      <c r="A17" s="16" t="s">
        <v>94</v>
      </c>
      <c r="B17" t="s">
        <v>90</v>
      </c>
      <c r="C17" s="4" t="s">
        <v>92</v>
      </c>
    </row>
    <row r="18" spans="1:6" x14ac:dyDescent="0.25">
      <c r="A18" s="4"/>
      <c r="C18" s="4"/>
    </row>
    <row r="20" spans="1:6" ht="15.75" thickBot="1" x14ac:dyDescent="0.3">
      <c r="A20" s="15" t="s">
        <v>87</v>
      </c>
    </row>
    <row r="22" spans="1:6" x14ac:dyDescent="0.25">
      <c r="A22" s="7" t="s">
        <v>57</v>
      </c>
      <c r="B22" s="7"/>
      <c r="C22" s="7"/>
    </row>
    <row r="23" spans="1:6" x14ac:dyDescent="0.25">
      <c r="A23" s="4"/>
      <c r="B23" s="13" t="s">
        <v>71</v>
      </c>
      <c r="C23" s="4" t="s">
        <v>97</v>
      </c>
      <c r="F23" t="s">
        <v>101</v>
      </c>
    </row>
    <row r="26" spans="1:6" ht="15.75" thickBot="1" x14ac:dyDescent="0.3">
      <c r="A26" s="15" t="s">
        <v>88</v>
      </c>
    </row>
    <row r="28" spans="1:6" x14ac:dyDescent="0.25">
      <c r="A28" s="7" t="s">
        <v>57</v>
      </c>
      <c r="B28" s="7"/>
      <c r="C28" s="7"/>
    </row>
    <row r="29" spans="1:6" x14ac:dyDescent="0.25">
      <c r="A29" s="4"/>
      <c r="B29" s="13" t="s">
        <v>69</v>
      </c>
      <c r="C29" s="4" t="s">
        <v>70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16</vt:i4>
      </vt:variant>
    </vt:vector>
  </HeadingPairs>
  <TitlesOfParts>
    <vt:vector size="20" baseType="lpstr">
      <vt:lpstr>CodeIsAlive</vt:lpstr>
      <vt:lpstr>Exemple</vt:lpstr>
      <vt:lpstr>ICONES</vt:lpstr>
      <vt:lpstr>RULES</vt:lpstr>
      <vt:lpstr>CodeIsAlive!ELEMENT_ELEMENT</vt:lpstr>
      <vt:lpstr>ELEMENT_ELEMENT</vt:lpstr>
      <vt:lpstr>CodeIsAlive!ELEMENT_ICONE</vt:lpstr>
      <vt:lpstr>ELEMENT_ICONE</vt:lpstr>
      <vt:lpstr>CodeIsAlive!ELEMENTS</vt:lpstr>
      <vt:lpstr>ELEMENTS</vt:lpstr>
      <vt:lpstr>CodeIsAlive!PROCESSUS</vt:lpstr>
      <vt:lpstr>PROCESSUS</vt:lpstr>
      <vt:lpstr>CodeIsAlive!PROCESSUS_ELEMENT</vt:lpstr>
      <vt:lpstr>PROCESSUS_ELEMENT</vt:lpstr>
      <vt:lpstr>CodeIsAlive!PROCESSUS_ELEMENT2</vt:lpstr>
      <vt:lpstr>PROCESSUS_ELEMENT2</vt:lpstr>
      <vt:lpstr>CodeIsAlive!PROCESSUS_ETATMEMOIRE</vt:lpstr>
      <vt:lpstr>PROCESSUS_ETATMEMOIRE</vt:lpstr>
      <vt:lpstr>CodeIsAlive!PROCESSUS_PROCESSUS</vt:lpstr>
      <vt:lpstr>PROCESSUS_PROCESSUS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2020-02-20T22:12:38Z</dcterms:modified>
</cp:coreProperties>
</file>